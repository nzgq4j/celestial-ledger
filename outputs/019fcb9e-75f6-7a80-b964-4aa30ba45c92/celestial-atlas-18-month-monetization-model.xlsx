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vml" ContentType="application/vnd.openxmlformats-officedocument.vmlDrawi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comments1.xml" ContentType="application/vnd.openxmlformats-officedocument.spreadsheetml.comments+xml"/>
  <Override PartName="/xl/threadedcomments/threadedcomment.xml" ContentType="application/vnd.ms-excel.threaded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ersons/person.xml" ContentType="application/vnd.ms-excel.perso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03bf2091a1f41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0e5e5b3de7f54084"/>
    <x:sheet xmlns:r="http://schemas.openxmlformats.org/officeDocument/2006/relationships" name="Assumptions" sheetId="2" r:id="Rd5f68fb3b43344dc"/>
    <x:sheet xmlns:r="http://schemas.openxmlformats.org/officeDocument/2006/relationships" name="Monthly Forecast" sheetId="3" r:id="Rbd287850404d41ad"/>
    <x:sheet xmlns:r="http://schemas.openxmlformats.org/officeDocument/2006/relationships" name="Scenario Analysis" sheetId="4" r:id="Rc657f082b8f6437f"/>
    <x:sheet xmlns:r="http://schemas.openxmlformats.org/officeDocument/2006/relationships" name="Checks" sheetId="5" r:id="R8967f550b4114887"/>
    <x:sheet xmlns:r="http://schemas.openxmlformats.org/officeDocument/2006/relationships" name="Sources" sheetId="6" r:id="Rafbe9bc2174d4e99"/>
  </x:sheets>
</x:workbook>
</file>

<file path=xl/comments1.xml><?xml version="1.0" encoding="utf-8"?>
<x:comments xmlns:x="http://schemas.openxmlformats.org/spreadsheetml/2006/main">
  <x:authors>
    <x:author>tc={77364C56-07B1-8192-8AAA-F8540287F8B4}</x:author>
    <x:author>tc={42C31B19-30A6-C162-EBB3-E651D072940E}</x:author>
    <x:author>tc={40CD0152-06E4-9A5E-8107-579EBD2536AC}</x:author>
    <x:author>tc={1184F4A8-6660-9933-7265-C6DDE57FFFB9}</x:author>
    <x:author>tc={38D9ED58-D78E-90FF-83A2-8D0FC7B0F15C}</x:author>
    <x:author>tc={C40B5A2B-4178-081D-B4AA-15C41A5838E0}</x:author>
    <x:author>tc={B8DF61AA-E0C9-D0E3-5AFA-362A665F268E}</x:author>
    <x:author>tc={77EE8A50-ECB0-6F17-2F9C-42DB755AF451}</x:author>
  </x:authors>
  <x:commentList>
    <x:comment ref="D5" authorId="0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User input: 500 starting active users.</x:t>
        </x:r>
      </x:text>
    </x:comment>
    <x:comment ref="D11" authorId="1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User input: operational and advertising expenses reduced to $500 total per month. Model assumption: $250 hosting/operations.</x:t>
        </x:r>
      </x:text>
    </x:comment>
    <x:comment ref="D12" authorId="2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User input: operational and advertising expenses reduced to $500 total per month. Model assumption: $250 advertising.</x:t>
        </x:r>
      </x:text>
    </x:comment>
    <x:comment ref="D27" authorId="3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https://developers.openai.com/api/docs/models/gpt-5-mini | Accessed 2026-08-05 | $0.25 per 1M input tokens.</x:t>
        </x:r>
      </x:text>
    </x:comment>
    <x:comment ref="D28" authorId="4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https://developers.openai.com/api/docs/models/gpt-5-mini | Accessed 2026-08-05 | $2.00 per 1M output tokens.</x:t>
        </x:r>
      </x:text>
    </x:comment>
    <x:comment ref="D37" authorId="5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https://stripe.com/pricing | Accessed 2026-08-05 | 2.9% online domestic card fee assumption.</x:t>
        </x:r>
      </x:text>
    </x:comment>
    <x:comment ref="D38" authorId="6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https://stripe.com/pricing | Accessed 2026-08-05 | $0.30 fixed transaction fee assumption.</x:t>
        </x:r>
      </x:text>
    </x:comment>
    <x:comment ref="D39" authorId="7">
      <x:text>
        <x:r>
          <x:t>[Threaded comment]
Your version of Excel allows you to read this threaded comment; however, any edits to it will get removed if the file is opened in a newer version of Excel. Learn more: https://go.microsoft.com/fwlink/?linkid=870924
Comment:
    Source: https://stripe.com/pricing | Accessed 2026-08-05 | 0.7% Stripe Billing pay-as-you-go assumption.</x:t>
        </x:r>
      </x:text>
    </x:comment>
  </x:commentList>
</x:comments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1">
    <x:numFmt numFmtId="200" formatCode="0.0%"/>
    <x:numFmt numFmtId="201" formatCode="$0.00"/>
    <x:numFmt numFmtId="202" formatCode="0.00"/>
    <x:numFmt numFmtId="203" formatCode="0.0"/>
    <x:numFmt numFmtId="204" formatCode="#,##0.0"/>
    <x:numFmt numFmtId="205" formatCode="$#,##0.00;[Red]($#,##0.00);-"/>
    <x:numFmt numFmtId="206" formatCode="$#,##0.00"/>
    <x:numFmt numFmtId="207" formatCode="#,##0"/>
    <x:numFmt numFmtId="208" formatCode="$#,##0;[Red]($#,##0);-"/>
    <x:numFmt numFmtId="209" formatCode="0.0000"/>
    <x:numFmt numFmtId="210" formatCode="$#,##0"/>
  </x:numFmts>
  <x:fonts count="15">
    <x:font>
      <x:sz val="11"/>
      <x:name val="Carlito"/>
    </x:font>
    <x:font>
      <x:b/>
      <x:sz val="20"/>
      <x:color rgb="FFF4EBD8"/>
      <x:name val="Carlito"/>
    </x:font>
    <x:font>
      <x:sz val="10"/>
      <x:color rgb="FFB8B2A5"/>
      <x:name val="Carlito"/>
    </x:font>
    <x:font>
      <x:b/>
      <x:sz val="11"/>
      <x:color rgb="FFF4EBD8"/>
      <x:name val="Carlito"/>
    </x:font>
    <x:font>
      <x:sz val="11"/>
      <x:color rgb="FF0000FF"/>
      <x:name val="Carlito"/>
    </x:font>
    <x:font>
      <x:b/>
      <x:sz val="11"/>
      <x:color rgb="FFC8A654"/>
      <x:name val="Carlito"/>
    </x:font>
    <x:font>
      <x:b/>
      <x:sz val="16"/>
      <x:name val="Carlito"/>
    </x:font>
    <x:font>
      <x:b/>
      <x:sz val="18"/>
      <x:color rgb="FFF4EBD8"/>
      <x:name val="Carlito"/>
    </x:font>
    <x:font>
      <x:b/>
      <x:sz val="10"/>
      <x:color rgb="FFF4EBD8"/>
      <x:name val="Aptos"/>
    </x:font>
    <x:font>
      <x:sz val="10"/>
      <x:color rgb="FFB8B2A5"/>
      <x:name val="Aptos"/>
    </x:font>
    <x:font>
      <x:sz val="10"/>
      <x:name val="Aptos"/>
    </x:font>
    <x:font>
      <x:sz val="10"/>
      <x:color rgb="FF0000FF"/>
      <x:name val="Aptos"/>
    </x:font>
    <x:font>
      <x:b/>
      <x:sz val="10"/>
      <x:color rgb="FFC8A654"/>
      <x:name val="Aptos"/>
    </x:font>
    <x:font>
      <x:b/>
      <x:sz val="10"/>
      <x:name val="Aptos"/>
    </x:font>
    <x:font>
      <x:sz val="10"/>
      <x:color rgb="FF00800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071321"/>
      </x:patternFill>
    </x:fill>
    <x:fill>
      <x:patternFill patternType="solid">
        <x:fgColor rgb="FF13253C"/>
      </x:patternFill>
    </x:fill>
    <x:fill>
      <x:patternFill patternType="solid">
        <x:fgColor rgb="FFFFF2CC"/>
      </x:patternFill>
    </x:fill>
    <x:fill>
      <x:patternFill patternType="solid">
        <x:fgColor rgb="FF0E1D30"/>
      </x:patternFill>
    </x:fill>
  </x:fills>
  <x:borders count="17">
    <x:border/>
    <x:border>
      <x:left style="thin">
        <x:color rgb="FF31445A"/>
      </x:left>
      <x:top style="thin">
        <x:color rgb="FF31445A"/>
      </x:top>
      <x:bottom style="thin">
        <x:color rgb="FF31445A"/>
      </x:bottom>
    </x:border>
    <x:border>
      <x:top style="thin">
        <x:color rgb="FF31445A"/>
      </x:top>
      <x:bottom style="thin">
        <x:color rgb="FF31445A"/>
      </x:bottom>
    </x:border>
    <x:border>
      <x:right style="thin">
        <x:color rgb="FF31445A"/>
      </x:right>
      <x:top style="thin">
        <x:color rgb="FF31445A"/>
      </x:top>
      <x:bottom style="thin">
        <x:color rgb="FF31445A"/>
      </x:bottom>
    </x:border>
    <x:border>
      <x:bottom style="thin">
        <x:color rgb="FFE6E6E6"/>
      </x:bottom>
    </x:border>
    <x:border>
      <x:top style="thin">
        <x:color rgb="FFE6E6E6"/>
      </x:top>
      <x:bottom style="thin">
        <x:color rgb="FFE6E6E6"/>
      </x:bottom>
    </x:border>
    <x:border>
      <x:top style="thin">
        <x:color rgb="FFE6E6E6"/>
      </x:top>
    </x:border>
    <x:border>
      <x:bottom style="thin">
        <x:color rgb="FFC8A654"/>
      </x:bottom>
    </x:border>
    <x:border>
      <x:top style="thin">
        <x:color rgb="FFE6E6E6"/>
      </x:top>
      <x:bottom style="thin">
        <x:color rgb="FF31445A"/>
      </x:bottom>
    </x:border>
    <x:border>
      <x:left style="thin">
        <x:color rgb="FF31445A"/>
      </x:left>
      <x:top style="thin">
        <x:color rgb="FF31445A"/>
      </x:top>
    </x:border>
    <x:border>
      <x:top style="thin">
        <x:color rgb="FF31445A"/>
      </x:top>
    </x:border>
    <x:border>
      <x:right style="thin">
        <x:color rgb="FF31445A"/>
      </x:right>
      <x:top style="thin">
        <x:color rgb="FF31445A"/>
      </x:top>
    </x:border>
    <x:border>
      <x:left style="thin">
        <x:color rgb="FF31445A"/>
      </x:left>
    </x:border>
    <x:border>
      <x:right style="thin">
        <x:color rgb="FF31445A"/>
      </x:right>
    </x:border>
    <x:border>
      <x:left style="thin">
        <x:color rgb="FF31445A"/>
      </x:left>
      <x:bottom style="thin">
        <x:color rgb="FF31445A"/>
      </x:bottom>
    </x:border>
    <x:border>
      <x:bottom style="thin">
        <x:color rgb="FF31445A"/>
      </x:bottom>
    </x:border>
    <x:border>
      <x:right style="thin">
        <x:color rgb="FF31445A"/>
      </x:right>
      <x:bottom style="thin">
        <x:color rgb="FF31445A"/>
      </x:bottom>
    </x:border>
  </x:borders>
  <x:cellStyleXfs count="1">
    <x:xf numFmtId="0" fontId="0" fillId="0" borderId="0"/>
  </x:cellStyleXfs>
  <x:cellXfs count="2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0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3" fillId="3" borderId="1" xfId="0" applyNumberFormat="1" applyFont="1" applyFill="1" applyBorder="1" applyAlignment="1">
      <x:alignment wrapText="1"/>
    </x:xf>
    <x:xf numFmtId="0" fontId="3" fillId="3" borderId="2" xfId="0" applyNumberFormat="1" applyFont="1" applyFill="1" applyBorder="1" applyAlignment="1">
      <x:alignment wrapText="1"/>
    </x:xf>
    <x:xf numFmtId="0" fontId="3" fillId="3" borderId="3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3" fillId="3" borderId="2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200" fontId="4" fillId="4" borderId="0" xfId="0" applyNumberFormat="1" applyFont="1" applyFill="1" applyBorder="1"/>
    <x:xf numFmtId="201" fontId="4" fillId="4" borderId="0" xfId="0" applyNumberFormat="1" applyFont="1" applyFill="1" applyBorder="1"/>
    <x:xf numFmtId="202" fontId="4" fillId="4" borderId="0" xfId="0" applyNumberFormat="1" applyFont="1" applyFill="1" applyBorder="1"/>
    <x:xf numFmtId="203" fontId="4" fillId="4" borderId="0" xfId="0" applyNumberFormat="1" applyFont="1" applyFill="1" applyBorder="1"/>
    <x:xf numFmtId="0" fontId="0" fillId="0" borderId="4" xfId="0" applyNumberFormat="1" applyFont="1" applyFill="1" applyBorder="1"/>
    <x:xf numFmtId="0" fontId="4" fillId="4" borderId="4" xfId="0" applyNumberFormat="1" applyFont="1" applyFill="1" applyBorder="1"/>
    <x:xf numFmtId="0" fontId="0" fillId="0" borderId="5" xfId="0" applyNumberFormat="1" applyFont="1" applyFill="1" applyBorder="1"/>
    <x:xf numFmtId="200" fontId="4" fillId="4" borderId="5" xfId="0" applyNumberFormat="1" applyFont="1" applyFill="1" applyBorder="1"/>
    <x:xf numFmtId="201" fontId="4" fillId="4" borderId="5" xfId="0" applyNumberFormat="1" applyFont="1" applyFill="1" applyBorder="1"/>
    <x:xf numFmtId="202" fontId="4" fillId="4" borderId="5" xfId="0" applyNumberFormat="1" applyFont="1" applyFill="1" applyBorder="1"/>
    <x:xf numFmtId="0" fontId="4" fillId="4" borderId="5" xfId="0" applyNumberFormat="1" applyFont="1" applyFill="1" applyBorder="1"/>
    <x:xf numFmtId="203" fontId="4" fillId="4" borderId="5" xfId="0" applyNumberFormat="1" applyFont="1" applyFill="1" applyBorder="1"/>
    <x:xf numFmtId="0" fontId="0" fillId="0" borderId="6" xfId="0" applyNumberFormat="1" applyFont="1" applyFill="1" applyBorder="1"/>
    <x:xf numFmtId="0" fontId="4" fillId="4" borderId="6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4" fillId="4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200" fontId="4" fillId="4" borderId="5" xfId="0" applyNumberFormat="1" applyFont="1" applyFill="1" applyBorder="1" applyAlignment="1">
      <x:alignment wrapText="1"/>
    </x:xf>
    <x:xf numFmtId="201" fontId="4" fillId="4" borderId="5" xfId="0" applyNumberFormat="1" applyFont="1" applyFill="1" applyBorder="1" applyAlignment="1">
      <x:alignment wrapText="1"/>
    </x:xf>
    <x:xf numFmtId="202" fontId="4" fillId="4" borderId="5" xfId="0" applyNumberFormat="1" applyFont="1" applyFill="1" applyBorder="1" applyAlignment="1">
      <x:alignment wrapText="1"/>
    </x:xf>
    <x:xf numFmtId="0" fontId="4" fillId="4" borderId="5" xfId="0" applyNumberFormat="1" applyFont="1" applyFill="1" applyBorder="1" applyAlignment="1">
      <x:alignment wrapText="1"/>
    </x:xf>
    <x:xf numFmtId="203" fontId="4" fillId="4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4" fillId="4" borderId="6" xfId="0" applyNumberFormat="1" applyFont="1" applyFill="1" applyBorder="1" applyAlignment="1">
      <x:alignment wrapText="1"/>
    </x:xf>
    <x:xf numFmtId="204" fontId="0" fillId="0" borderId="0" xfId="0" applyNumberFormat="1" applyFont="1" applyFill="1" applyBorder="1"/>
    <x:xf numFmtId="205" fontId="0" fillId="0" borderId="0" xfId="0" applyNumberFormat="1" applyFont="1" applyFill="1" applyBorder="1"/>
    <x:xf numFmtId="201" fontId="0" fillId="0" borderId="0" xfId="0" applyNumberFormat="1" applyFont="1" applyFill="1" applyBorder="1"/>
    <x:xf numFmtId="200" fontId="0" fillId="0" borderId="0" xfId="0" applyNumberFormat="1" applyFont="1" applyFill="1" applyBorder="1"/>
    <x:xf numFmtId="204" fontId="0" fillId="0" borderId="4" xfId="0" applyNumberFormat="1" applyFont="1" applyFill="1" applyBorder="1"/>
    <x:xf numFmtId="205" fontId="0" fillId="0" borderId="4" xfId="0" applyNumberFormat="1" applyFont="1" applyFill="1" applyBorder="1"/>
    <x:xf numFmtId="201" fontId="0" fillId="0" borderId="4" xfId="0" applyNumberFormat="1" applyFont="1" applyFill="1" applyBorder="1"/>
    <x:xf numFmtId="200" fontId="0" fillId="0" borderId="4" xfId="0" applyNumberFormat="1" applyFont="1" applyFill="1" applyBorder="1"/>
    <x:xf numFmtId="204" fontId="0" fillId="0" borderId="5" xfId="0" applyNumberFormat="1" applyFont="1" applyFill="1" applyBorder="1"/>
    <x:xf numFmtId="205" fontId="0" fillId="0" borderId="5" xfId="0" applyNumberFormat="1" applyFont="1" applyFill="1" applyBorder="1"/>
    <x:xf numFmtId="201" fontId="0" fillId="0" borderId="5" xfId="0" applyNumberFormat="1" applyFont="1" applyFill="1" applyBorder="1"/>
    <x:xf numFmtId="200" fontId="0" fillId="0" borderId="5" xfId="0" applyNumberFormat="1" applyFont="1" applyFill="1" applyBorder="1"/>
    <x:xf numFmtId="204" fontId="0" fillId="0" borderId="6" xfId="0" applyNumberFormat="1" applyFont="1" applyFill="1" applyBorder="1"/>
    <x:xf numFmtId="205" fontId="0" fillId="0" borderId="6" xfId="0" applyNumberFormat="1" applyFont="1" applyFill="1" applyBorder="1"/>
    <x:xf numFmtId="201" fontId="0" fillId="0" borderId="6" xfId="0" applyNumberFormat="1" applyFont="1" applyFill="1" applyBorder="1"/>
    <x:xf numFmtId="200" fontId="0" fillId="0" borderId="6" xfId="0" applyNumberFormat="1" applyFont="1" applyFill="1" applyBorder="1"/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7" xfId="0" applyNumberFormat="1" applyFont="1" applyFill="1" applyBorder="1"/>
    <x:xf numFmtId="206" fontId="0" fillId="0" borderId="4" xfId="0" applyNumberFormat="1" applyFont="1" applyFill="1" applyBorder="1"/>
    <x:xf numFmtId="206" fontId="0" fillId="0" borderId="5" xfId="0" applyNumberFormat="1" applyFont="1" applyFill="1" applyBorder="1"/>
    <x:xf numFmtId="206" fontId="0" fillId="0" borderId="6" xfId="0" applyNumberFormat="1" applyFont="1" applyFill="1" applyBorder="1"/>
    <x:xf numFmtId="207" fontId="0" fillId="0" borderId="0" xfId="0" applyNumberFormat="1" applyFont="1" applyFill="1" applyBorder="1"/>
    <x:xf numFmtId="208" fontId="0" fillId="0" borderId="0" xfId="0" applyNumberFormat="1" applyFont="1" applyFill="1" applyBorder="1"/>
    <x:xf numFmtId="207" fontId="0" fillId="0" borderId="4" xfId="0" applyNumberFormat="1" applyFont="1" applyFill="1" applyBorder="1"/>
    <x:xf numFmtId="208" fontId="0" fillId="0" borderId="4" xfId="0" applyNumberFormat="1" applyFont="1" applyFill="1" applyBorder="1"/>
    <x:xf numFmtId="207" fontId="0" fillId="0" borderId="5" xfId="0" applyNumberFormat="1" applyFont="1" applyFill="1" applyBorder="1"/>
    <x:xf numFmtId="208" fontId="0" fillId="0" borderId="5" xfId="0" applyNumberFormat="1" applyFont="1" applyFill="1" applyBorder="1"/>
    <x:xf numFmtId="0" fontId="0" fillId="0" borderId="8" xfId="0" applyNumberFormat="1" applyFont="1" applyFill="1" applyBorder="1"/>
    <x:xf numFmtId="207" fontId="0" fillId="0" borderId="8" xfId="0" applyNumberFormat="1" applyFont="1" applyFill="1" applyBorder="1"/>
    <x:xf numFmtId="208" fontId="0" fillId="0" borderId="8" xfId="0" applyNumberFormat="1" applyFont="1" applyFill="1" applyBorder="1"/>
    <x:xf numFmtId="200" fontId="0" fillId="0" borderId="8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horizontal="center"/>
    </x:xf>
    <x:xf numFmtId="209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1" xfId="0" applyNumberFormat="1" applyFont="1" applyFill="1" applyBorder="1"/>
    <x:xf numFmtId="0" fontId="5" fillId="3" borderId="2" xfId="0" applyNumberFormat="1" applyFont="1" applyFill="1" applyBorder="1"/>
    <x:xf numFmtId="0" fontId="5" fillId="3" borderId="3" xfId="0" applyNumberFormat="1" applyFont="1" applyFill="1" applyBorder="1"/>
    <x:xf numFmtId="0" fontId="5" fillId="3" borderId="1" xfId="0" applyNumberFormat="1" applyFont="1" applyFill="1" applyBorder="1" applyAlignment="1">
      <x:alignment horizontal="center"/>
    </x:xf>
    <x:xf numFmtId="0" fontId="5" fillId="3" borderId="2" xfId="0" applyNumberFormat="1" applyFont="1" applyFill="1" applyBorder="1" applyAlignment="1">
      <x:alignment horizontal="center"/>
    </x:xf>
    <x:xf numFmtId="0" fontId="5" fillId="3" borderId="3" xfId="0" applyNumberFormat="1" applyFont="1" applyFill="1" applyBorder="1" applyAlignment="1">
      <x:alignment horizontal="center"/>
    </x:xf>
    <x:xf numFmtId="0" fontId="7" fillId="5" borderId="0" xfId="0" applyNumberFormat="1" applyFont="1" applyFill="1" applyBorder="1"/>
    <x:xf numFmtId="0" fontId="7" fillId="5" borderId="9" xfId="0" applyNumberFormat="1" applyFont="1" applyFill="1" applyBorder="1"/>
    <x:xf numFmtId="0" fontId="7" fillId="5" borderId="10" xfId="0" applyNumberFormat="1" applyFont="1" applyFill="1" applyBorder="1"/>
    <x:xf numFmtId="0" fontId="7" fillId="5" borderId="11" xfId="0" applyNumberFormat="1" applyFont="1" applyFill="1" applyBorder="1"/>
    <x:xf numFmtId="0" fontId="7" fillId="5" borderId="12" xfId="0" applyNumberFormat="1" applyFont="1" applyFill="1" applyBorder="1"/>
    <x:xf numFmtId="0" fontId="7" fillId="5" borderId="13" xfId="0" applyNumberFormat="1" applyFont="1" applyFill="1" applyBorder="1"/>
    <x:xf numFmtId="0" fontId="7" fillId="5" borderId="14" xfId="0" applyNumberFormat="1" applyFont="1" applyFill="1" applyBorder="1"/>
    <x:xf numFmtId="0" fontId="7" fillId="5" borderId="15" xfId="0" applyNumberFormat="1" applyFont="1" applyFill="1" applyBorder="1"/>
    <x:xf numFmtId="0" fontId="7" fillId="5" borderId="16" xfId="0" applyNumberFormat="1" applyFont="1" applyFill="1" applyBorder="1"/>
    <x:xf numFmtId="207" fontId="7" fillId="5" borderId="9" xfId="0" applyNumberFormat="1" applyFont="1" applyFill="1" applyBorder="1"/>
    <x:xf numFmtId="207" fontId="7" fillId="5" borderId="10" xfId="0" applyNumberFormat="1" applyFont="1" applyFill="1" applyBorder="1"/>
    <x:xf numFmtId="207" fontId="7" fillId="5" borderId="11" xfId="0" applyNumberFormat="1" applyFont="1" applyFill="1" applyBorder="1"/>
    <x:xf numFmtId="207" fontId="7" fillId="5" borderId="12" xfId="0" applyNumberFormat="1" applyFont="1" applyFill="1" applyBorder="1"/>
    <x:xf numFmtId="207" fontId="7" fillId="5" borderId="0" xfId="0" applyNumberFormat="1" applyFont="1" applyFill="1" applyBorder="1"/>
    <x:xf numFmtId="207" fontId="7" fillId="5" borderId="13" xfId="0" applyNumberFormat="1" applyFont="1" applyFill="1" applyBorder="1"/>
    <x:xf numFmtId="207" fontId="7" fillId="5" borderId="14" xfId="0" applyNumberFormat="1" applyFont="1" applyFill="1" applyBorder="1"/>
    <x:xf numFmtId="207" fontId="7" fillId="5" borderId="15" xfId="0" applyNumberFormat="1" applyFont="1" applyFill="1" applyBorder="1"/>
    <x:xf numFmtId="207" fontId="7" fillId="5" borderId="16" xfId="0" applyNumberFormat="1" applyFont="1" applyFill="1" applyBorder="1"/>
    <x:xf numFmtId="207" fontId="7" fillId="5" borderId="9" xfId="0" applyNumberFormat="1" applyFont="1" applyFill="1" applyBorder="1" applyAlignment="1">
      <x:alignment horizontal="center"/>
    </x:xf>
    <x:xf numFmtId="207" fontId="7" fillId="5" borderId="10" xfId="0" applyNumberFormat="1" applyFont="1" applyFill="1" applyBorder="1" applyAlignment="1">
      <x:alignment horizontal="center"/>
    </x:xf>
    <x:xf numFmtId="207" fontId="7" fillId="5" borderId="11" xfId="0" applyNumberFormat="1" applyFont="1" applyFill="1" applyBorder="1" applyAlignment="1">
      <x:alignment horizontal="center"/>
    </x:xf>
    <x:xf numFmtId="207" fontId="7" fillId="5" borderId="12" xfId="0" applyNumberFormat="1" applyFont="1" applyFill="1" applyBorder="1" applyAlignment="1">
      <x:alignment horizontal="center"/>
    </x:xf>
    <x:xf numFmtId="207" fontId="7" fillId="5" borderId="0" xfId="0" applyNumberFormat="1" applyFont="1" applyFill="1" applyBorder="1" applyAlignment="1">
      <x:alignment horizontal="center"/>
    </x:xf>
    <x:xf numFmtId="207" fontId="7" fillId="5" borderId="13" xfId="0" applyNumberFormat="1" applyFont="1" applyFill="1" applyBorder="1" applyAlignment="1">
      <x:alignment horizontal="center"/>
    </x:xf>
    <x:xf numFmtId="207" fontId="7" fillId="5" borderId="14" xfId="0" applyNumberFormat="1" applyFont="1" applyFill="1" applyBorder="1" applyAlignment="1">
      <x:alignment horizontal="center"/>
    </x:xf>
    <x:xf numFmtId="207" fontId="7" fillId="5" borderId="15" xfId="0" applyNumberFormat="1" applyFont="1" applyFill="1" applyBorder="1" applyAlignment="1">
      <x:alignment horizontal="center"/>
    </x:xf>
    <x:xf numFmtId="207" fontId="7" fillId="5" borderId="16" xfId="0" applyNumberFormat="1" applyFont="1" applyFill="1" applyBorder="1" applyAlignment="1">
      <x:alignment horizontal="center"/>
    </x:xf>
    <x:xf numFmtId="207" fontId="7" fillId="5" borderId="9" xfId="0" applyNumberFormat="1" applyFont="1" applyFill="1" applyBorder="1" applyAlignment="1">
      <x:alignment horizontal="center" vertical="center"/>
    </x:xf>
    <x:xf numFmtId="207" fontId="7" fillId="5" borderId="10" xfId="0" applyNumberFormat="1" applyFont="1" applyFill="1" applyBorder="1" applyAlignment="1">
      <x:alignment horizontal="center" vertical="center"/>
    </x:xf>
    <x:xf numFmtId="207" fontId="7" fillId="5" borderId="11" xfId="0" applyNumberFormat="1" applyFont="1" applyFill="1" applyBorder="1" applyAlignment="1">
      <x:alignment horizontal="center" vertical="center"/>
    </x:xf>
    <x:xf numFmtId="207" fontId="7" fillId="5" borderId="12" xfId="0" applyNumberFormat="1" applyFont="1" applyFill="1" applyBorder="1" applyAlignment="1">
      <x:alignment horizontal="center" vertical="center"/>
    </x:xf>
    <x:xf numFmtId="207" fontId="7" fillId="5" borderId="0" xfId="0" applyNumberFormat="1" applyFont="1" applyFill="1" applyBorder="1" applyAlignment="1">
      <x:alignment horizontal="center" vertical="center"/>
    </x:xf>
    <x:xf numFmtId="207" fontId="7" fillId="5" borderId="13" xfId="0" applyNumberFormat="1" applyFont="1" applyFill="1" applyBorder="1" applyAlignment="1">
      <x:alignment horizontal="center" vertical="center"/>
    </x:xf>
    <x:xf numFmtId="207" fontId="7" fillId="5" borderId="14" xfId="0" applyNumberFormat="1" applyFont="1" applyFill="1" applyBorder="1" applyAlignment="1">
      <x:alignment horizontal="center" vertical="center"/>
    </x:xf>
    <x:xf numFmtId="207" fontId="7" fillId="5" borderId="15" xfId="0" applyNumberFormat="1" applyFont="1" applyFill="1" applyBorder="1" applyAlignment="1">
      <x:alignment horizontal="center" vertical="center"/>
    </x:xf>
    <x:xf numFmtId="207" fontId="7" fillId="5" borderId="16" xfId="0" applyNumberFormat="1" applyFont="1" applyFill="1" applyBorder="1" applyAlignment="1">
      <x:alignment horizontal="center" vertical="center"/>
    </x:xf>
    <x:xf numFmtId="210" fontId="7" fillId="5" borderId="9" xfId="0" applyNumberFormat="1" applyFont="1" applyFill="1" applyBorder="1"/>
    <x:xf numFmtId="210" fontId="7" fillId="5" borderId="10" xfId="0" applyNumberFormat="1" applyFont="1" applyFill="1" applyBorder="1"/>
    <x:xf numFmtId="210" fontId="7" fillId="5" borderId="11" xfId="0" applyNumberFormat="1" applyFont="1" applyFill="1" applyBorder="1"/>
    <x:xf numFmtId="210" fontId="7" fillId="5" borderId="12" xfId="0" applyNumberFormat="1" applyFont="1" applyFill="1" applyBorder="1"/>
    <x:xf numFmtId="210" fontId="7" fillId="5" borderId="0" xfId="0" applyNumberFormat="1" applyFont="1" applyFill="1" applyBorder="1"/>
    <x:xf numFmtId="210" fontId="7" fillId="5" borderId="13" xfId="0" applyNumberFormat="1" applyFont="1" applyFill="1" applyBorder="1"/>
    <x:xf numFmtId="210" fontId="7" fillId="5" borderId="14" xfId="0" applyNumberFormat="1" applyFont="1" applyFill="1" applyBorder="1"/>
    <x:xf numFmtId="210" fontId="7" fillId="5" borderId="15" xfId="0" applyNumberFormat="1" applyFont="1" applyFill="1" applyBorder="1"/>
    <x:xf numFmtId="210" fontId="7" fillId="5" borderId="16" xfId="0" applyNumberFormat="1" applyFont="1" applyFill="1" applyBorder="1"/>
    <x:xf numFmtId="210" fontId="7" fillId="5" borderId="9" xfId="0" applyNumberFormat="1" applyFont="1" applyFill="1" applyBorder="1" applyAlignment="1">
      <x:alignment horizontal="center"/>
    </x:xf>
    <x:xf numFmtId="210" fontId="7" fillId="5" borderId="10" xfId="0" applyNumberFormat="1" applyFont="1" applyFill="1" applyBorder="1" applyAlignment="1">
      <x:alignment horizontal="center"/>
    </x:xf>
    <x:xf numFmtId="210" fontId="7" fillId="5" borderId="11" xfId="0" applyNumberFormat="1" applyFont="1" applyFill="1" applyBorder="1" applyAlignment="1">
      <x:alignment horizontal="center"/>
    </x:xf>
    <x:xf numFmtId="210" fontId="7" fillId="5" borderId="12" xfId="0" applyNumberFormat="1" applyFont="1" applyFill="1" applyBorder="1" applyAlignment="1">
      <x:alignment horizontal="center"/>
    </x:xf>
    <x:xf numFmtId="210" fontId="7" fillId="5" borderId="0" xfId="0" applyNumberFormat="1" applyFont="1" applyFill="1" applyBorder="1" applyAlignment="1">
      <x:alignment horizontal="center"/>
    </x:xf>
    <x:xf numFmtId="210" fontId="7" fillId="5" borderId="13" xfId="0" applyNumberFormat="1" applyFont="1" applyFill="1" applyBorder="1" applyAlignment="1">
      <x:alignment horizontal="center"/>
    </x:xf>
    <x:xf numFmtId="210" fontId="7" fillId="5" borderId="14" xfId="0" applyNumberFormat="1" applyFont="1" applyFill="1" applyBorder="1" applyAlignment="1">
      <x:alignment horizontal="center"/>
    </x:xf>
    <x:xf numFmtId="210" fontId="7" fillId="5" borderId="15" xfId="0" applyNumberFormat="1" applyFont="1" applyFill="1" applyBorder="1" applyAlignment="1">
      <x:alignment horizontal="center"/>
    </x:xf>
    <x:xf numFmtId="210" fontId="7" fillId="5" borderId="16" xfId="0" applyNumberFormat="1" applyFont="1" applyFill="1" applyBorder="1" applyAlignment="1">
      <x:alignment horizontal="center"/>
    </x:xf>
    <x:xf numFmtId="210" fontId="7" fillId="5" borderId="9" xfId="0" applyNumberFormat="1" applyFont="1" applyFill="1" applyBorder="1" applyAlignment="1">
      <x:alignment horizontal="center" vertical="center"/>
    </x:xf>
    <x:xf numFmtId="210" fontId="7" fillId="5" borderId="10" xfId="0" applyNumberFormat="1" applyFont="1" applyFill="1" applyBorder="1" applyAlignment="1">
      <x:alignment horizontal="center" vertical="center"/>
    </x:xf>
    <x:xf numFmtId="210" fontId="7" fillId="5" borderId="11" xfId="0" applyNumberFormat="1" applyFont="1" applyFill="1" applyBorder="1" applyAlignment="1">
      <x:alignment horizontal="center" vertical="center"/>
    </x:xf>
    <x:xf numFmtId="210" fontId="7" fillId="5" borderId="12" xfId="0" applyNumberFormat="1" applyFont="1" applyFill="1" applyBorder="1" applyAlignment="1">
      <x:alignment horizontal="center" vertical="center"/>
    </x:xf>
    <x:xf numFmtId="210" fontId="7" fillId="5" borderId="0" xfId="0" applyNumberFormat="1" applyFont="1" applyFill="1" applyBorder="1" applyAlignment="1">
      <x:alignment horizontal="center" vertical="center"/>
    </x:xf>
    <x:xf numFmtId="210" fontId="7" fillId="5" borderId="13" xfId="0" applyNumberFormat="1" applyFont="1" applyFill="1" applyBorder="1" applyAlignment="1">
      <x:alignment horizontal="center" vertical="center"/>
    </x:xf>
    <x:xf numFmtId="210" fontId="7" fillId="5" borderId="14" xfId="0" applyNumberFormat="1" applyFont="1" applyFill="1" applyBorder="1" applyAlignment="1">
      <x:alignment horizontal="center" vertical="center"/>
    </x:xf>
    <x:xf numFmtId="210" fontId="7" fillId="5" borderId="15" xfId="0" applyNumberFormat="1" applyFont="1" applyFill="1" applyBorder="1" applyAlignment="1">
      <x:alignment horizontal="center" vertical="center"/>
    </x:xf>
    <x:xf numFmtId="210" fontId="7" fillId="5" borderId="16" xfId="0" applyNumberFormat="1" applyFont="1" applyFill="1" applyBorder="1" applyAlignment="1">
      <x:alignment horizontal="center" vertical="center"/>
    </x:xf>
    <x:xf numFmtId="201" fontId="7" fillId="5" borderId="9" xfId="0" applyNumberFormat="1" applyFont="1" applyFill="1" applyBorder="1"/>
    <x:xf numFmtId="201" fontId="7" fillId="5" borderId="10" xfId="0" applyNumberFormat="1" applyFont="1" applyFill="1" applyBorder="1"/>
    <x:xf numFmtId="201" fontId="7" fillId="5" borderId="11" xfId="0" applyNumberFormat="1" applyFont="1" applyFill="1" applyBorder="1"/>
    <x:xf numFmtId="201" fontId="7" fillId="5" borderId="12" xfId="0" applyNumberFormat="1" applyFont="1" applyFill="1" applyBorder="1"/>
    <x:xf numFmtId="201" fontId="7" fillId="5" borderId="0" xfId="0" applyNumberFormat="1" applyFont="1" applyFill="1" applyBorder="1"/>
    <x:xf numFmtId="201" fontId="7" fillId="5" borderId="13" xfId="0" applyNumberFormat="1" applyFont="1" applyFill="1" applyBorder="1"/>
    <x:xf numFmtId="201" fontId="7" fillId="5" borderId="14" xfId="0" applyNumberFormat="1" applyFont="1" applyFill="1" applyBorder="1"/>
    <x:xf numFmtId="201" fontId="7" fillId="5" borderId="15" xfId="0" applyNumberFormat="1" applyFont="1" applyFill="1" applyBorder="1"/>
    <x:xf numFmtId="201" fontId="7" fillId="5" borderId="16" xfId="0" applyNumberFormat="1" applyFont="1" applyFill="1" applyBorder="1"/>
    <x:xf numFmtId="201" fontId="7" fillId="5" borderId="9" xfId="0" applyNumberFormat="1" applyFont="1" applyFill="1" applyBorder="1" applyAlignment="1">
      <x:alignment horizontal="center"/>
    </x:xf>
    <x:xf numFmtId="201" fontId="7" fillId="5" borderId="10" xfId="0" applyNumberFormat="1" applyFont="1" applyFill="1" applyBorder="1" applyAlignment="1">
      <x:alignment horizontal="center"/>
    </x:xf>
    <x:xf numFmtId="201" fontId="7" fillId="5" borderId="11" xfId="0" applyNumberFormat="1" applyFont="1" applyFill="1" applyBorder="1" applyAlignment="1">
      <x:alignment horizontal="center"/>
    </x:xf>
    <x:xf numFmtId="201" fontId="7" fillId="5" borderId="12" xfId="0" applyNumberFormat="1" applyFont="1" applyFill="1" applyBorder="1" applyAlignment="1">
      <x:alignment horizontal="center"/>
    </x:xf>
    <x:xf numFmtId="201" fontId="7" fillId="5" borderId="0" xfId="0" applyNumberFormat="1" applyFont="1" applyFill="1" applyBorder="1" applyAlignment="1">
      <x:alignment horizontal="center"/>
    </x:xf>
    <x:xf numFmtId="201" fontId="7" fillId="5" borderId="13" xfId="0" applyNumberFormat="1" applyFont="1" applyFill="1" applyBorder="1" applyAlignment="1">
      <x:alignment horizontal="center"/>
    </x:xf>
    <x:xf numFmtId="201" fontId="7" fillId="5" borderId="14" xfId="0" applyNumberFormat="1" applyFont="1" applyFill="1" applyBorder="1" applyAlignment="1">
      <x:alignment horizontal="center"/>
    </x:xf>
    <x:xf numFmtId="201" fontId="7" fillId="5" borderId="15" xfId="0" applyNumberFormat="1" applyFont="1" applyFill="1" applyBorder="1" applyAlignment="1">
      <x:alignment horizontal="center"/>
    </x:xf>
    <x:xf numFmtId="201" fontId="7" fillId="5" borderId="16" xfId="0" applyNumberFormat="1" applyFont="1" applyFill="1" applyBorder="1" applyAlignment="1">
      <x:alignment horizontal="center"/>
    </x:xf>
    <x:xf numFmtId="201" fontId="7" fillId="5" borderId="9" xfId="0" applyNumberFormat="1" applyFont="1" applyFill="1" applyBorder="1" applyAlignment="1">
      <x:alignment horizontal="center" vertical="center"/>
    </x:xf>
    <x:xf numFmtId="201" fontId="7" fillId="5" borderId="10" xfId="0" applyNumberFormat="1" applyFont="1" applyFill="1" applyBorder="1" applyAlignment="1">
      <x:alignment horizontal="center" vertical="center"/>
    </x:xf>
    <x:xf numFmtId="201" fontId="7" fillId="5" borderId="11" xfId="0" applyNumberFormat="1" applyFont="1" applyFill="1" applyBorder="1" applyAlignment="1">
      <x:alignment horizontal="center" vertical="center"/>
    </x:xf>
    <x:xf numFmtId="201" fontId="7" fillId="5" borderId="12" xfId="0" applyNumberFormat="1" applyFont="1" applyFill="1" applyBorder="1" applyAlignment="1">
      <x:alignment horizontal="center" vertical="center"/>
    </x:xf>
    <x:xf numFmtId="201" fontId="7" fillId="5" borderId="0" xfId="0" applyNumberFormat="1" applyFont="1" applyFill="1" applyBorder="1" applyAlignment="1">
      <x:alignment horizontal="center" vertical="center"/>
    </x:xf>
    <x:xf numFmtId="201" fontId="7" fillId="5" borderId="13" xfId="0" applyNumberFormat="1" applyFont="1" applyFill="1" applyBorder="1" applyAlignment="1">
      <x:alignment horizontal="center" vertical="center"/>
    </x:xf>
    <x:xf numFmtId="201" fontId="7" fillId="5" borderId="14" xfId="0" applyNumberFormat="1" applyFont="1" applyFill="1" applyBorder="1" applyAlignment="1">
      <x:alignment horizontal="center" vertical="center"/>
    </x:xf>
    <x:xf numFmtId="201" fontId="7" fillId="5" borderId="15" xfId="0" applyNumberFormat="1" applyFont="1" applyFill="1" applyBorder="1" applyAlignment="1">
      <x:alignment horizontal="center" vertical="center"/>
    </x:xf>
    <x:xf numFmtId="201" fontId="7" fillId="5" borderId="16" xfId="0" applyNumberFormat="1" applyFont="1" applyFill="1" applyBorder="1" applyAlignment="1">
      <x:alignment horizontal="center" vertical="center"/>
    </x:xf>
    <x:xf numFmtId="206" fontId="0" fillId="0" borderId="0" xfId="0" applyNumberFormat="1" applyFont="1" applyFill="1" applyBorder="1"/>
    <x:xf numFmtId="0" fontId="0" fillId="0" borderId="12" xfId="0" applyNumberFormat="1" applyFont="1" applyFill="1" applyBorder="1"/>
    <x:xf numFmtId="206" fontId="0" fillId="0" borderId="13" xfId="0" applyNumberFormat="1" applyFont="1" applyFill="1" applyBorder="1"/>
    <x:xf numFmtId="0" fontId="0" fillId="0" borderId="14" xfId="0" applyNumberFormat="1" applyFont="1" applyFill="1" applyBorder="1"/>
    <x:xf numFmtId="206" fontId="0" fillId="0" borderId="16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9" fillId="2" borderId="0" xfId="0" applyNumberFormat="1" applyFont="1" applyFill="1" applyBorder="1" applyAlignment="1">
      <x:alignment vertical="center" wrapText="1"/>
    </x:xf>
    <x:xf numFmtId="0" fontId="10" fillId="0" borderId="0" xfId="0" applyNumberFormat="1" applyFont="1" applyFill="1" applyBorder="1"/>
    <x:xf numFmtId="0" fontId="8" fillId="3" borderId="1" xfId="0" applyNumberFormat="1" applyFont="1" applyFill="1" applyBorder="1" applyAlignment="1">
      <x:alignment vertical="center" wrapText="1"/>
    </x:xf>
    <x:xf numFmtId="0" fontId="8" fillId="3" borderId="2" xfId="0" applyNumberFormat="1" applyFont="1" applyFill="1" applyBorder="1" applyAlignment="1">
      <x:alignment vertical="center" wrapText="1"/>
    </x:xf>
    <x:xf numFmtId="0" fontId="8" fillId="3" borderId="3" xfId="0" applyNumberFormat="1" applyFont="1" applyFill="1" applyBorder="1" applyAlignment="1">
      <x:alignment vertical="center" wrapText="1"/>
    </x:xf>
    <x:xf numFmtId="0" fontId="10" fillId="0" borderId="4" xfId="0" applyNumberFormat="1" applyFont="1" applyFill="1" applyBorder="1" applyAlignment="1">
      <x:alignment wrapText="1"/>
    </x:xf>
    <x:xf numFmtId="0" fontId="11" fillId="4" borderId="4" xfId="0" applyNumberFormat="1" applyFont="1" applyFill="1" applyBorder="1" applyAlignment="1">
      <x:alignment wrapText="1"/>
    </x:xf>
    <x:xf numFmtId="0" fontId="10" fillId="0" borderId="5" xfId="0" applyNumberFormat="1" applyFont="1" applyFill="1" applyBorder="1" applyAlignment="1">
      <x:alignment wrapText="1"/>
    </x:xf>
    <x:xf numFmtId="200" fontId="11" fillId="4" borderId="5" xfId="0" applyNumberFormat="1" applyFont="1" applyFill="1" applyBorder="1" applyAlignment="1">
      <x:alignment wrapText="1"/>
    </x:xf>
    <x:xf numFmtId="201" fontId="11" fillId="4" borderId="5" xfId="0" applyNumberFormat="1" applyFont="1" applyFill="1" applyBorder="1" applyAlignment="1">
      <x:alignment wrapText="1"/>
    </x:xf>
    <x:xf numFmtId="202" fontId="11" fillId="4" borderId="5" xfId="0" applyNumberFormat="1" applyFont="1" applyFill="1" applyBorder="1" applyAlignment="1">
      <x:alignment wrapText="1"/>
    </x:xf>
    <x:xf numFmtId="0" fontId="11" fillId="4" borderId="5" xfId="0" applyNumberFormat="1" applyFont="1" applyFill="1" applyBorder="1" applyAlignment="1">
      <x:alignment wrapText="1"/>
    </x:xf>
    <x:xf numFmtId="203" fontId="11" fillId="4" borderId="5" xfId="0" applyNumberFormat="1" applyFont="1" applyFill="1" applyBorder="1" applyAlignment="1">
      <x:alignment wrapText="1"/>
    </x:xf>
    <x:xf numFmtId="0" fontId="10" fillId="0" borderId="6" xfId="0" applyNumberFormat="1" applyFont="1" applyFill="1" applyBorder="1" applyAlignment="1">
      <x:alignment wrapText="1"/>
    </x:xf>
    <x:xf numFmtId="0" fontId="11" fillId="4" borderId="6" xfId="0" applyNumberFormat="1" applyFont="1" applyFill="1" applyBorder="1" applyAlignment="1">
      <x:alignment wrapText="1"/>
    </x:xf>
    <x:xf numFmtId="0" fontId="10" fillId="0" borderId="4" xfId="0" applyNumberFormat="1" applyFont="1" applyFill="1" applyBorder="1"/>
    <x:xf numFmtId="204" fontId="10" fillId="0" borderId="4" xfId="0" applyNumberFormat="1" applyFont="1" applyFill="1" applyBorder="1"/>
    <x:xf numFmtId="205" fontId="10" fillId="0" borderId="4" xfId="0" applyNumberFormat="1" applyFont="1" applyFill="1" applyBorder="1"/>
    <x:xf numFmtId="201" fontId="10" fillId="0" borderId="4" xfId="0" applyNumberFormat="1" applyFont="1" applyFill="1" applyBorder="1"/>
    <x:xf numFmtId="200" fontId="10" fillId="0" borderId="4" xfId="0" applyNumberFormat="1" applyFont="1" applyFill="1" applyBorder="1"/>
    <x:xf numFmtId="0" fontId="10" fillId="0" borderId="5" xfId="0" applyNumberFormat="1" applyFont="1" applyFill="1" applyBorder="1"/>
    <x:xf numFmtId="204" fontId="10" fillId="0" borderId="5" xfId="0" applyNumberFormat="1" applyFont="1" applyFill="1" applyBorder="1"/>
    <x:xf numFmtId="205" fontId="10" fillId="0" borderId="5" xfId="0" applyNumberFormat="1" applyFont="1" applyFill="1" applyBorder="1"/>
    <x:xf numFmtId="201" fontId="10" fillId="0" borderId="5" xfId="0" applyNumberFormat="1" applyFont="1" applyFill="1" applyBorder="1"/>
    <x:xf numFmtId="200" fontId="10" fillId="0" borderId="5" xfId="0" applyNumberFormat="1" applyFont="1" applyFill="1" applyBorder="1"/>
    <x:xf numFmtId="0" fontId="10" fillId="0" borderId="6" xfId="0" applyNumberFormat="1" applyFont="1" applyFill="1" applyBorder="1"/>
    <x:xf numFmtId="204" fontId="10" fillId="0" borderId="6" xfId="0" applyNumberFormat="1" applyFont="1" applyFill="1" applyBorder="1"/>
    <x:xf numFmtId="205" fontId="10" fillId="0" borderId="6" xfId="0" applyNumberFormat="1" applyFont="1" applyFill="1" applyBorder="1"/>
    <x:xf numFmtId="201" fontId="10" fillId="0" borderId="6" xfId="0" applyNumberFormat="1" applyFont="1" applyFill="1" applyBorder="1"/>
    <x:xf numFmtId="200" fontId="10" fillId="0" borderId="6" xfId="0" applyNumberFormat="1" applyFont="1" applyFill="1" applyBorder="1"/>
    <x:xf numFmtId="207" fontId="10" fillId="0" borderId="4" xfId="0" applyNumberFormat="1" applyFont="1" applyFill="1" applyBorder="1"/>
    <x:xf numFmtId="208" fontId="10" fillId="0" borderId="4" xfId="0" applyNumberFormat="1" applyFont="1" applyFill="1" applyBorder="1"/>
    <x:xf numFmtId="207" fontId="10" fillId="0" borderId="5" xfId="0" applyNumberFormat="1" applyFont="1" applyFill="1" applyBorder="1"/>
    <x:xf numFmtId="208" fontId="10" fillId="0" borderId="5" xfId="0" applyNumberFormat="1" applyFont="1" applyFill="1" applyBorder="1"/>
    <x:xf numFmtId="0" fontId="10" fillId="0" borderId="8" xfId="0" applyNumberFormat="1" applyFont="1" applyFill="1" applyBorder="1"/>
    <x:xf numFmtId="207" fontId="10" fillId="0" borderId="8" xfId="0" applyNumberFormat="1" applyFont="1" applyFill="1" applyBorder="1"/>
    <x:xf numFmtId="208" fontId="10" fillId="0" borderId="8" xfId="0" applyNumberFormat="1" applyFont="1" applyFill="1" applyBorder="1"/>
    <x:xf numFmtId="200" fontId="10" fillId="0" borderId="8" xfId="0" applyNumberFormat="1" applyFont="1" applyFill="1" applyBorder="1"/>
    <x:xf numFmtId="0" fontId="12" fillId="5" borderId="7" xfId="0" applyNumberFormat="1" applyFont="1" applyFill="1" applyBorder="1"/>
    <x:xf numFmtId="206" fontId="10" fillId="0" borderId="4" xfId="0" applyNumberFormat="1" applyFont="1" applyFill="1" applyBorder="1"/>
    <x:xf numFmtId="206" fontId="10" fillId="0" borderId="5" xfId="0" applyNumberFormat="1" applyFont="1" applyFill="1" applyBorder="1"/>
    <x:xf numFmtId="206" fontId="10" fillId="0" borderId="6" xfId="0" applyNumberFormat="1" applyFont="1" applyFill="1" applyBorder="1"/>
    <x:xf numFmtId="209" fontId="10" fillId="0" borderId="0" xfId="0" applyNumberFormat="1" applyFont="1" applyFill="1" applyBorder="1"/>
    <x:xf numFmtId="0" fontId="13" fillId="0" borderId="0" xfId="0" applyNumberFormat="1" applyFont="1" applyFill="1" applyBorder="1" applyAlignment="1">
      <x:alignment horizontal="center"/>
    </x:xf>
    <x:xf numFmtId="0" fontId="10" fillId="0" borderId="0" xfId="0" applyNumberFormat="1" applyFont="1" applyFill="1" applyBorder="1" applyAlignment="1">
      <x:alignment wrapText="1"/>
    </x:xf>
    <x:xf numFmtId="0" fontId="12" fillId="3" borderId="1" xfId="0" applyNumberFormat="1" applyFont="1" applyFill="1" applyBorder="1" applyAlignment="1">
      <x:alignment horizontal="center"/>
    </x:xf>
    <x:xf numFmtId="0" fontId="12" fillId="3" borderId="2" xfId="0" applyNumberFormat="1" applyFont="1" applyFill="1" applyBorder="1" applyAlignment="1">
      <x:alignment horizontal="center"/>
    </x:xf>
    <x:xf numFmtId="0" fontId="12" fillId="3" borderId="3" xfId="0" applyNumberFormat="1" applyFont="1" applyFill="1" applyBorder="1" applyAlignment="1">
      <x:alignment horizontal="center"/>
    </x:xf>
    <x:xf numFmtId="207" fontId="8" fillId="5" borderId="9" xfId="0" applyNumberFormat="1" applyFont="1" applyFill="1" applyBorder="1" applyAlignment="1">
      <x:alignment horizontal="center" vertical="center"/>
    </x:xf>
    <x:xf numFmtId="207" fontId="8" fillId="5" borderId="10" xfId="0" applyNumberFormat="1" applyFont="1" applyFill="1" applyBorder="1" applyAlignment="1">
      <x:alignment horizontal="center" vertical="center"/>
    </x:xf>
    <x:xf numFmtId="207" fontId="8" fillId="5" borderId="11" xfId="0" applyNumberFormat="1" applyFont="1" applyFill="1" applyBorder="1" applyAlignment="1">
      <x:alignment horizontal="center" vertical="center"/>
    </x:xf>
    <x:xf numFmtId="210" fontId="8" fillId="5" borderId="9" xfId="0" applyNumberFormat="1" applyFont="1" applyFill="1" applyBorder="1" applyAlignment="1">
      <x:alignment horizontal="center" vertical="center"/>
    </x:xf>
    <x:xf numFmtId="210" fontId="8" fillId="5" borderId="10" xfId="0" applyNumberFormat="1" applyFont="1" applyFill="1" applyBorder="1" applyAlignment="1">
      <x:alignment horizontal="center" vertical="center"/>
    </x:xf>
    <x:xf numFmtId="210" fontId="8" fillId="5" borderId="11" xfId="0" applyNumberFormat="1" applyFont="1" applyFill="1" applyBorder="1" applyAlignment="1">
      <x:alignment horizontal="center" vertical="center"/>
    </x:xf>
    <x:xf numFmtId="207" fontId="8" fillId="5" borderId="12" xfId="0" applyNumberFormat="1" applyFont="1" applyFill="1" applyBorder="1" applyAlignment="1">
      <x:alignment horizontal="center" vertical="center"/>
    </x:xf>
    <x:xf numFmtId="207" fontId="8" fillId="5" borderId="0" xfId="0" applyNumberFormat="1" applyFont="1" applyFill="1" applyBorder="1" applyAlignment="1">
      <x:alignment horizontal="center" vertical="center"/>
    </x:xf>
    <x:xf numFmtId="207" fontId="8" fillId="5" borderId="13" xfId="0" applyNumberFormat="1" applyFont="1" applyFill="1" applyBorder="1" applyAlignment="1">
      <x:alignment horizontal="center" vertical="center"/>
    </x:xf>
    <x:xf numFmtId="210" fontId="8" fillId="5" borderId="12" xfId="0" applyNumberFormat="1" applyFont="1" applyFill="1" applyBorder="1" applyAlignment="1">
      <x:alignment horizontal="center" vertical="center"/>
    </x:xf>
    <x:xf numFmtId="210" fontId="8" fillId="5" borderId="0" xfId="0" applyNumberFormat="1" applyFont="1" applyFill="1" applyBorder="1" applyAlignment="1">
      <x:alignment horizontal="center" vertical="center"/>
    </x:xf>
    <x:xf numFmtId="210" fontId="8" fillId="5" borderId="13" xfId="0" applyNumberFormat="1" applyFont="1" applyFill="1" applyBorder="1" applyAlignment="1">
      <x:alignment horizontal="center" vertical="center"/>
    </x:xf>
    <x:xf numFmtId="207" fontId="8" fillId="5" borderId="14" xfId="0" applyNumberFormat="1" applyFont="1" applyFill="1" applyBorder="1" applyAlignment="1">
      <x:alignment horizontal="center" vertical="center"/>
    </x:xf>
    <x:xf numFmtId="207" fontId="8" fillId="5" borderId="15" xfId="0" applyNumberFormat="1" applyFont="1" applyFill="1" applyBorder="1" applyAlignment="1">
      <x:alignment horizontal="center" vertical="center"/>
    </x:xf>
    <x:xf numFmtId="207" fontId="8" fillId="5" borderId="16" xfId="0" applyNumberFormat="1" applyFont="1" applyFill="1" applyBorder="1" applyAlignment="1">
      <x:alignment horizontal="center" vertical="center"/>
    </x:xf>
    <x:xf numFmtId="210" fontId="8" fillId="5" borderId="14" xfId="0" applyNumberFormat="1" applyFont="1" applyFill="1" applyBorder="1" applyAlignment="1">
      <x:alignment horizontal="center" vertical="center"/>
    </x:xf>
    <x:xf numFmtId="210" fontId="8" fillId="5" borderId="15" xfId="0" applyNumberFormat="1" applyFont="1" applyFill="1" applyBorder="1" applyAlignment="1">
      <x:alignment horizontal="center" vertical="center"/>
    </x:xf>
    <x:xf numFmtId="210" fontId="8" fillId="5" borderId="16" xfId="0" applyNumberFormat="1" applyFont="1" applyFill="1" applyBorder="1" applyAlignment="1">
      <x:alignment horizontal="center" vertical="center"/>
    </x:xf>
    <x:xf numFmtId="201" fontId="8" fillId="5" borderId="9" xfId="0" applyNumberFormat="1" applyFont="1" applyFill="1" applyBorder="1" applyAlignment="1">
      <x:alignment horizontal="center" vertical="center"/>
    </x:xf>
    <x:xf numFmtId="201" fontId="8" fillId="5" borderId="10" xfId="0" applyNumberFormat="1" applyFont="1" applyFill="1" applyBorder="1" applyAlignment="1">
      <x:alignment horizontal="center" vertical="center"/>
    </x:xf>
    <x:xf numFmtId="201" fontId="8" fillId="5" borderId="11" xfId="0" applyNumberFormat="1" applyFont="1" applyFill="1" applyBorder="1" applyAlignment="1">
      <x:alignment horizontal="center" vertical="center"/>
    </x:xf>
    <x:xf numFmtId="201" fontId="8" fillId="5" borderId="12" xfId="0" applyNumberFormat="1" applyFont="1" applyFill="1" applyBorder="1" applyAlignment="1">
      <x:alignment horizontal="center" vertical="center"/>
    </x:xf>
    <x:xf numFmtId="201" fontId="8" fillId="5" borderId="0" xfId="0" applyNumberFormat="1" applyFont="1" applyFill="1" applyBorder="1" applyAlignment="1">
      <x:alignment horizontal="center" vertical="center"/>
    </x:xf>
    <x:xf numFmtId="201" fontId="8" fillId="5" borderId="13" xfId="0" applyNumberFormat="1" applyFont="1" applyFill="1" applyBorder="1" applyAlignment="1">
      <x:alignment horizontal="center" vertical="center"/>
    </x:xf>
    <x:xf numFmtId="201" fontId="8" fillId="5" borderId="14" xfId="0" applyNumberFormat="1" applyFont="1" applyFill="1" applyBorder="1" applyAlignment="1">
      <x:alignment horizontal="center" vertical="center"/>
    </x:xf>
    <x:xf numFmtId="201" fontId="8" fillId="5" borderId="15" xfId="0" applyNumberFormat="1" applyFont="1" applyFill="1" applyBorder="1" applyAlignment="1">
      <x:alignment horizontal="center" vertical="center"/>
    </x:xf>
    <x:xf numFmtId="201" fontId="8" fillId="5" borderId="16" xfId="0" applyNumberFormat="1" applyFont="1" applyFill="1" applyBorder="1" applyAlignment="1">
      <x:alignment horizontal="center" vertical="center"/>
    </x:xf>
    <x:xf numFmtId="0" fontId="10" fillId="0" borderId="12" xfId="0" applyNumberFormat="1" applyFont="1" applyFill="1" applyBorder="1"/>
    <x:xf numFmtId="206" fontId="10" fillId="0" borderId="13" xfId="0" applyNumberFormat="1" applyFont="1" applyFill="1" applyBorder="1"/>
    <x:xf numFmtId="0" fontId="10" fillId="0" borderId="14" xfId="0" applyNumberFormat="1" applyFont="1" applyFill="1" applyBorder="1"/>
    <x:xf numFmtId="206" fontId="10" fillId="0" borderId="16" xfId="0" applyNumberFormat="1" applyFont="1" applyFill="1" applyBorder="1"/>
    <x:xf numFmtId="204" fontId="14" fillId="0" borderId="4" xfId="0" applyNumberFormat="1" applyFont="1" applyFill="1" applyBorder="1"/>
    <x:xf numFmtId="205" fontId="14" fillId="0" borderId="4" xfId="0" applyNumberFormat="1" applyFont="1" applyFill="1" applyBorder="1"/>
    <x:xf numFmtId="201" fontId="14" fillId="0" borderId="4" xfId="0" applyNumberFormat="1" applyFont="1" applyFill="1" applyBorder="1"/>
    <x:xf numFmtId="200" fontId="14" fillId="0" borderId="4" xfId="0" applyNumberFormat="1" applyFont="1" applyFill="1" applyBorder="1"/>
    <x:xf numFmtId="204" fontId="14" fillId="0" borderId="5" xfId="0" applyNumberFormat="1" applyFont="1" applyFill="1" applyBorder="1"/>
    <x:xf numFmtId="205" fontId="14" fillId="0" borderId="5" xfId="0" applyNumberFormat="1" applyFont="1" applyFill="1" applyBorder="1"/>
    <x:xf numFmtId="201" fontId="14" fillId="0" borderId="5" xfId="0" applyNumberFormat="1" applyFont="1" applyFill="1" applyBorder="1"/>
    <x:xf numFmtId="200" fontId="14" fillId="0" borderId="5" xfId="0" applyNumberFormat="1" applyFont="1" applyFill="1" applyBorder="1"/>
    <x:xf numFmtId="204" fontId="14" fillId="0" borderId="6" xfId="0" applyNumberFormat="1" applyFont="1" applyFill="1" applyBorder="1"/>
    <x:xf numFmtId="205" fontId="14" fillId="0" borderId="6" xfId="0" applyNumberFormat="1" applyFont="1" applyFill="1" applyBorder="1"/>
    <x:xf numFmtId="201" fontId="14" fillId="0" borderId="6" xfId="0" applyNumberFormat="1" applyFont="1" applyFill="1" applyBorder="1"/>
    <x:xf numFmtId="200" fontId="14" fillId="0" borderId="6" xfId="0" applyNumberFormat="1" applyFont="1" applyFill="1" applyBorder="1"/>
    <x:xf numFmtId="207" fontId="14" fillId="0" borderId="4" xfId="0" applyNumberFormat="1" applyFont="1" applyFill="1" applyBorder="1"/>
    <x:xf numFmtId="208" fontId="14" fillId="0" borderId="4" xfId="0" applyNumberFormat="1" applyFont="1" applyFill="1" applyBorder="1"/>
    <x:xf numFmtId="207" fontId="14" fillId="0" borderId="5" xfId="0" applyNumberFormat="1" applyFont="1" applyFill="1" applyBorder="1"/>
    <x:xf numFmtId="208" fontId="14" fillId="0" borderId="5" xfId="0" applyNumberFormat="1" applyFont="1" applyFill="1" applyBorder="1"/>
    <x:xf numFmtId="207" fontId="14" fillId="0" borderId="8" xfId="0" applyNumberFormat="1" applyFont="1" applyFill="1" applyBorder="1"/>
    <x:xf numFmtId="208" fontId="14" fillId="0" borderId="8" xfId="0" applyNumberFormat="1" applyFont="1" applyFill="1" applyBorder="1"/>
    <x:xf numFmtId="200" fontId="14" fillId="0" borderId="8" xfId="0" applyNumberFormat="1" applyFont="1" applyFill="1" applyBorder="1"/>
    <x:xf numFmtId="209" fontId="14" fillId="0" borderId="0" xfId="0" applyNumberFormat="1" applyFont="1" applyFill="1" applyBorder="1"/>
    <x:xf numFmtId="0" fontId="14" fillId="0" borderId="0" xfId="0" applyNumberFormat="1" applyFont="1" applyFill="1" applyBorder="1"/>
  </x:cellXfs>
  <x:cellStyles count="1">
    <x:cellStyle name="Normal" xfId="0"/>
  </x:cellStyles>
  <x:dxfs count="4"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C6E0B4"/>
        </x:patternFill>
      </x:fill>
    </x:dxf>
    <x:dxf>
      <x:font>
        <x:b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e072fa899864585" /><Relationship Type="http://schemas.openxmlformats.org/officeDocument/2006/relationships/theme" Target="/xl/theme/theme1.xml" Id="R21a418ba76af4b16" /><Relationship Type="http://schemas.openxmlformats.org/officeDocument/2006/relationships/sharedStrings" Target="/xl/sharedStrings.xml" Id="R184f5ca54d1e4f01" /><Relationship Type="http://schemas.openxmlformats.org/officeDocument/2006/relationships/worksheet" Target="/xl/worksheets/sheet1.xml" Id="R0e5e5b3de7f54084" /><Relationship Type="http://schemas.openxmlformats.org/officeDocument/2006/relationships/worksheet" Target="/xl/worksheets/sheet2.xml" Id="Rd5f68fb3b43344dc" /><Relationship Type="http://schemas.openxmlformats.org/officeDocument/2006/relationships/worksheet" Target="/xl/worksheets/sheet3.xml" Id="Rbd287850404d41ad" /><Relationship Type="http://schemas.openxmlformats.org/officeDocument/2006/relationships/worksheet" Target="/xl/worksheets/sheet4.xml" Id="Rc657f082b8f6437f" /><Relationship Type="http://schemas.openxmlformats.org/officeDocument/2006/relationships/worksheet" Target="/xl/worksheets/sheet5.xml" Id="R8967f550b4114887" /><Relationship Type="http://schemas.openxmlformats.org/officeDocument/2006/relationships/worksheet" Target="/xl/worksheets/sheet6.xml" Id="Rafbe9bc2174d4e99" /><Relationship Type="http://schemas.microsoft.com/office/2017/10/relationships/person" Target="/xl/persons/person.xml" Id="Rce56ef43644b434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efdd5266f6954d88" /><Relationship Type="http://schemas.openxmlformats.org/officeDocument/2006/relationships/chart" Target="/xl/drawings/charts/chart2.xml" Id="R3aee2f5e671a4639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Monthly revenue and total operating cost</a:t>
            </a:r>
          </a:p>
        </c:rich>
      </c:tx>
    </c:title>
    <c:plotArea>
      <c:lineChart>
        <c:grouping val="standard"/>
        <c:ser>
          <c:idx val="0"/>
          <c:order val="0"/>
          <c:tx>
            <c:v>Revenue</c:v>
          </c:tx>
          <c:spPr>
            <a:solidFill xmlns:a="http://schemas.openxmlformats.org/drawingml/2006/main">
              <a:srgbClr val="C8A654"/>
            </a:solidFill>
          </c:spPr>
          <c:marker>
            <c:symbol val="none"/>
          </c:marker>
          <c:cat>
            <c:strRef>
              <c:f>'Monthly Forecast'!$A$5:$A$22</c:f>
              <c:strCache>
                <c:ptCount val="0"/>
              </c:strCache>
            </c:strRef>
          </c:cat>
          <c:val>
            <c:numRef>
              <c:f>'Monthly Forecast'!$N$5:$N$22</c:f>
              <c:numCache>
                <c:formatCode>$#,##0</c:formatCode>
                <c:ptCount val="0"/>
              </c:numCache>
            </c:numRef>
          </c:val>
        </c:ser>
        <c:ser>
          <c:idx val="1"/>
          <c:order val="1"/>
          <c:tx>
            <c:v>Total cost</c:v>
          </c:tx>
          <c:spPr>
            <a:solidFill xmlns:a="http://schemas.openxmlformats.org/drawingml/2006/main">
              <a:srgbClr val="6E88A8"/>
            </a:solidFill>
          </c:spPr>
          <c:marker>
            <c:symbol val="none"/>
          </c:marker>
          <c:cat>
            <c:strRef>
              <c:f>'Monthly Forecast'!$A$5:$A$22</c:f>
              <c:strCache>
                <c:ptCount val="0"/>
              </c:strCache>
            </c:strRef>
          </c:cat>
          <c:val>
            <c:numRef>
              <c:f>'Monthly Forecast'!$X$5:$X$22</c:f>
              <c:numCache>
                <c:formatCode>$#,##0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18-month cost composition (USD)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18M total</c:v>
          </c:tx>
          <c:cat>
            <c:strRef>
              <c:f>'Executive Summary'!$A$22:$A$25</c:f>
              <c:strCache>
                <c:ptCount val="0"/>
              </c:strCache>
            </c:strRef>
          </c:cat>
          <c:val>
            <c:numRef>
              <c:f>'Executive Summary'!$B$22:$B$25</c:f>
              <c:numCache>
                <c:formatCode>$#,##0.00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$#,##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19</xdr:row>
      <xdr:rowOff>0</xdr:rowOff>
    </xdr:from>
    <xdr:to>
      <xdr:col>12</xdr:col>
      <xdr:colOff>0</xdr:colOff>
      <xdr:row>41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efdd5266f6954d88"/>
        </a:graphicData>
      </a:graphic>
    </xdr:graphicFrame>
    <xdr:clientData/>
  </xdr:twoCellAnchor>
  <xdr:twoCellAnchor>
    <xdr:from>
      <xdr:col>0</xdr:col>
      <xdr:colOff>0</xdr:colOff>
      <xdr:row>26</xdr:row>
      <xdr:rowOff>0</xdr:rowOff>
    </xdr:from>
    <xdr:to>
      <xdr:col>3</xdr:col>
      <xdr:colOff>0</xdr:colOff>
      <xdr:row>41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aee2f5e671a4639"/>
        </a:graphicData>
      </a:graphic>
    </xdr:graphicFrame>
    <xdr:clientData/>
  </xdr:twoCellAnchor>
</xdr:wsDr>
</file>

<file path=xl/persons/person.xml><?xml version="1.0" encoding="utf-8"?>
<xltc:personList xmlns:xltc="http://schemas.microsoft.com/office/spreadsheetml/2018/threadedcomments">
  <xltc:person displayName="David" id="{B55FA79A-A2A8-451A-AD55-B1354BE3A133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.xml><?xml version="1.0" encoding="utf-8"?>
<xltc:ThreadedComments xmlns:xltc="http://schemas.microsoft.com/office/spreadsheetml/2018/threadedcomments">
  <xltc:threadedComment ref="D5" dT="2026-08-05T15:10:15.124" personId="{B55FA79A-A2A8-451A-AD55-B1354BE3A133}" id="{77364C56-07B1-8192-8AAA-F8540287F8B4}">
    <xltc:text>User input: 500 starting active users.</xltc:text>
  </xltc:threadedComment>
  <xltc:threadedComment ref="D11" dT="2026-08-05T15:10:15.124" personId="{B55FA79A-A2A8-451A-AD55-B1354BE3A133}" id="{42C31B19-30A6-C162-EBB3-E651D072940E}">
    <xltc:text>User input: operational and advertising expenses reduced to $500 total per month. Model assumption: $250 hosting/operations.</xltc:text>
  </xltc:threadedComment>
  <xltc:threadedComment ref="D12" dT="2026-08-05T15:10:15.124" personId="{B55FA79A-A2A8-451A-AD55-B1354BE3A133}" id="{40CD0152-06E4-9A5E-8107-579EBD2536AC}">
    <xltc:text>User input: operational and advertising expenses reduced to $500 total per month. Model assumption: $250 advertising.</xltc:text>
  </xltc:threadedComment>
  <xltc:threadedComment ref="D27" dT="2026-08-05T15:10:15.124" personId="{B55FA79A-A2A8-451A-AD55-B1354BE3A133}" id="{1184F4A8-6660-9933-7265-C6DDE57FFFB9}">
    <xltc:text>Source: https://developers.openai.com/api/docs/models/gpt-5-mini | Accessed 2026-08-05 | $0.25 per 1M input tokens.</xltc:text>
  </xltc:threadedComment>
  <xltc:threadedComment ref="D28" dT="2026-08-05T15:10:15.124" personId="{B55FA79A-A2A8-451A-AD55-B1354BE3A133}" id="{38D9ED58-D78E-90FF-83A2-8D0FC7B0F15C}">
    <xltc:text>Source: https://developers.openai.com/api/docs/models/gpt-5-mini | Accessed 2026-08-05 | $2.00 per 1M output tokens.</xltc:text>
  </xltc:threadedComment>
  <xltc:threadedComment ref="D37" dT="2026-08-05T15:10:15.124" personId="{B55FA79A-A2A8-451A-AD55-B1354BE3A133}" id="{C40B5A2B-4178-081D-B4AA-15C41A5838E0}">
    <xltc:text>Source: https://stripe.com/pricing | Accessed 2026-08-05 | 2.9% online domestic card fee assumption.</xltc:text>
  </xltc:threadedComment>
  <xltc:threadedComment ref="D38" dT="2026-08-05T15:10:15.124" personId="{B55FA79A-A2A8-451A-AD55-B1354BE3A133}" id="{B8DF61AA-E0C9-D0E3-5AFA-362A665F268E}">
    <xltc:text>Source: https://stripe.com/pricing | Accessed 2026-08-05 | $0.30 fixed transaction fee assumption.</xltc:text>
  </xltc:threadedComment>
  <xltc:threadedComment ref="D39" dT="2026-08-05T15:10:15.124" personId="{B55FA79A-A2A8-451A-AD55-B1354BE3A133}" id="{77EE8A50-ECB0-6F17-2F9C-42DB755AF451}">
    <xltc:text>Source: https://stripe.com/pricing | Accessed 2026-08-05 | 0.7% Stripe Billing pay-as-you-go assumption.</xltc:text>
  </xltc:threadedComment>
</xltc:ThreadedComments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2a574fa99e2b4a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comments" Target="/xl/comments1.xml" Id="R4a97c3d2d7ac479e" /><Relationship Type="http://schemas.openxmlformats.org/officeDocument/2006/relationships/vmlDrawing" Target="/xl/drawings/vmldrawing.vml" Id="Rf138bafae80749ef" /><Relationship Type="http://schemas.microsoft.com/office/2017/10/relationships/threadedComment" Target="/xl/threadedcomments/threadedcomment.xml" Id="R5c44e41a375d4a1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</x:cols>
  <x:sheetData>
    <x:row r="1" ht="34" customHeight="1">
      <x:c r="A1" s="183" t="str">
        <x:v>Celestial Atlas 18-Month Monetization Forecast</x:v>
      </x:c>
      <x:c r="B1" s="183"/>
      <x:c r="C1" s="183"/>
      <x:c r="D1" s="183"/>
      <x:c r="E1" s="183"/>
      <x:c r="F1" s="183"/>
      <x:c r="G1" s="183"/>
      <x:c r="H1" s="183"/>
      <x:c r="I1" s="183"/>
      <x:c r="J1" s="183"/>
      <x:c r="K1" s="183"/>
      <x:c r="L1" s="183"/>
    </x:row>
    <x:row r="2" ht="28" customHeight="1">
      <x:c r="A2" s="184" t="str">
        <x:v>Base case: 500 starting active users, 80% Free / 16% Personal / 4% Premium, and $500 total monthly fixed spend split $250 hosting/operations and $250 advertising. USD; operating contribution before labour, taxes, refunds, and other excluded overhead.</x:v>
      </x:c>
      <x:c r="B2" s="184"/>
      <x:c r="C2" s="184"/>
      <x:c r="D2" s="184"/>
      <x:c r="E2" s="184"/>
      <x:c r="F2" s="184"/>
      <x:c r="G2" s="184"/>
      <x:c r="H2" s="184"/>
      <x:c r="I2" s="184"/>
      <x:c r="J2" s="184"/>
      <x:c r="K2" s="184"/>
      <x:c r="L2" s="184"/>
    </x:row>
    <x:row r="3">
      <x:c r="A3" s="185"/>
      <x:c r="B3" s="185"/>
      <x:c r="C3" s="185"/>
      <x:c r="D3" s="185"/>
      <x:c r="E3" s="185"/>
      <x:c r="F3" s="185"/>
      <x:c r="G3" s="185"/>
      <x:c r="H3" s="185"/>
      <x:c r="I3" s="185"/>
      <x:c r="J3" s="185"/>
      <x:c r="K3" s="185"/>
      <x:c r="L3" s="185"/>
    </x:row>
    <x:row r="4">
      <x:c r="A4" s="222" t="str">
        <x:v>EXECUTIVE SUMMARY</x:v>
      </x:c>
      <x:c r="B4" s="222"/>
      <x:c r="C4" s="222"/>
      <x:c r="D4" s="222"/>
      <x:c r="E4" s="222"/>
      <x:c r="F4" s="222"/>
      <x:c r="G4" s="222"/>
      <x:c r="H4" s="222"/>
      <x:c r="I4" s="222"/>
      <x:c r="J4" s="222"/>
      <x:c r="K4" s="222"/>
      <x:c r="L4" s="222"/>
    </x:row>
    <x:row r="5" ht="34" customHeight="1">
      <x:c r="A5" s="228" t="str">
        <x:v>• The base case is contribution-positive from Month 1 because the proposed paid mix produces about $3.08 of monthly revenue per active user against approximately $0.19 of payment fees and only fractions of a cent of AI cost.</x:v>
      </x:c>
      <x:c r="B5" s="228"/>
      <x:c r="C5" s="228"/>
      <x:c r="D5" s="228"/>
      <x:c r="E5" s="228"/>
      <x:c r="F5" s="228"/>
      <x:c r="G5" s="228"/>
      <x:c r="H5" s="228"/>
      <x:c r="I5" s="228"/>
      <x:c r="J5" s="228"/>
      <x:c r="K5" s="228"/>
      <x:c r="L5" s="228"/>
    </x:row>
    <x:row r="6" ht="34" customHeight="1">
      <x:c r="A6" s="228" t="str">
        <x:v>• Over 18 months, gross revenue reaches about $28.8k and operating contribution about $18.0k after $4.5k hosting/operations, $4.5k advertising, payment fees, and model costs.</x:v>
      </x:c>
      <x:c r="B6" s="228"/>
      <x:c r="C6" s="228"/>
      <x:c r="D6" s="228"/>
      <x:c r="E6" s="228"/>
      <x:c r="F6" s="228"/>
      <x:c r="G6" s="228"/>
      <x:c r="H6" s="228"/>
      <x:c r="I6" s="228"/>
      <x:c r="J6" s="228"/>
      <x:c r="K6" s="228"/>
      <x:c r="L6" s="228"/>
    </x:row>
    <x:row r="7" ht="34" customHeight="1">
      <x:c r="A7" s="228" t="str">
        <x:v>• AI spend is not the economic constraint. The forecast produces roughly $18 of total AI cost; hosting/operations and advertising are the two largest cost lines at $4.5k each.</x:v>
      </x:c>
      <x:c r="B7" s="228"/>
      <x:c r="C7" s="228"/>
      <x:c r="D7" s="228"/>
      <x:c r="E7" s="228"/>
      <x:c r="F7" s="228"/>
      <x:c r="G7" s="228"/>
      <x:c r="H7" s="228"/>
      <x:c r="I7" s="228"/>
      <x:c r="J7" s="228"/>
      <x:c r="K7" s="228"/>
      <x:c r="L7" s="228"/>
    </x:row>
    <x:row r="8">
      <x:c r="A8" s="185"/>
      <x:c r="B8" s="185"/>
      <x:c r="C8" s="185"/>
      <x:c r="D8" s="185"/>
      <x:c r="E8" s="185"/>
      <x:c r="F8" s="185"/>
      <x:c r="G8" s="185"/>
      <x:c r="H8" s="185"/>
      <x:c r="I8" s="185"/>
      <x:c r="J8" s="185"/>
      <x:c r="K8" s="185"/>
      <x:c r="L8" s="185"/>
    </x:row>
    <x:row r="9">
      <x:c r="A9" s="229" t="str">
        <x:v>Starting users</x:v>
      </x:c>
      <x:c r="B9" s="230"/>
      <x:c r="C9" s="231"/>
      <x:c r="D9" s="229" t="str">
        <x:v>Month 18 users</x:v>
      </x:c>
      <x:c r="E9" s="230"/>
      <x:c r="F9" s="231"/>
      <x:c r="G9" s="229" t="str">
        <x:v>18M revenue</x:v>
      </x:c>
      <x:c r="H9" s="230"/>
      <x:c r="I9" s="231"/>
      <x:c r="J9" s="229" t="str">
        <x:v>18M contribution</x:v>
      </x:c>
      <x:c r="K9" s="230"/>
      <x:c r="L9" s="231"/>
    </x:row>
    <x:row r="10">
      <x:c r="A10" s="232" t="n">
        <x:f>'Assumptions'!D5</x:f>
        <x:v>500</x:v>
      </x:c>
      <x:c r="B10" s="233"/>
      <x:c r="C10" s="234"/>
      <x:c r="D10" s="232" t="n">
        <x:f>'Monthly Forecast'!F22</x:f>
        <x:v>538.108083642871</x:v>
      </x:c>
      <x:c r="E10" s="233"/>
      <x:c r="F10" s="234"/>
      <x:c r="G10" s="235" t="n">
        <x:f>SUM('Monthly Forecast'!N5:N22)</x:f>
        <x:v>28837.944110239336</x:v>
      </x:c>
      <x:c r="H10" s="236"/>
      <x:c r="I10" s="237"/>
      <x:c r="J10" s="235" t="n">
        <x:f>SUM('Monthly Forecast'!Y5:Y22)</x:f>
        <x:v>18004.77756897168</x:v>
      </x:c>
      <x:c r="K10" s="236"/>
      <x:c r="L10" s="237"/>
    </x:row>
    <x:row r="11">
      <x:c r="A11" s="238"/>
      <x:c r="B11" s="239"/>
      <x:c r="C11" s="240"/>
      <x:c r="D11" s="238"/>
      <x:c r="E11" s="239"/>
      <x:c r="F11" s="240"/>
      <x:c r="G11" s="241"/>
      <x:c r="H11" s="242"/>
      <x:c r="I11" s="243"/>
      <x:c r="J11" s="241"/>
      <x:c r="K11" s="242"/>
      <x:c r="L11" s="243"/>
    </x:row>
    <x:row r="12">
      <x:c r="A12" s="244"/>
      <x:c r="B12" s="245"/>
      <x:c r="C12" s="246"/>
      <x:c r="D12" s="244"/>
      <x:c r="E12" s="245"/>
      <x:c r="F12" s="246"/>
      <x:c r="G12" s="247"/>
      <x:c r="H12" s="248"/>
      <x:c r="I12" s="249"/>
      <x:c r="J12" s="247"/>
      <x:c r="K12" s="248"/>
      <x:c r="L12" s="249"/>
    </x:row>
    <x:row r="13">
      <x:c r="A13" s="185"/>
      <x:c r="B13" s="185"/>
      <x:c r="C13" s="185"/>
      <x:c r="D13" s="185"/>
      <x:c r="E13" s="185"/>
      <x:c r="F13" s="185"/>
      <x:c r="G13" s="185"/>
      <x:c r="H13" s="185"/>
      <x:c r="I13" s="185"/>
      <x:c r="J13" s="185"/>
      <x:c r="K13" s="185"/>
      <x:c r="L13" s="185"/>
    </x:row>
    <x:row r="14">
      <x:c r="A14" s="229" t="str">
        <x:v>Month 1 contribution</x:v>
      </x:c>
      <x:c r="B14" s="230"/>
      <x:c r="C14" s="231"/>
      <x:c r="D14" s="229" t="str">
        <x:v>Month 18 contribution</x:v>
      </x:c>
      <x:c r="E14" s="230"/>
      <x:c r="F14" s="231"/>
      <x:c r="G14" s="229" t="str">
        <x:v>18M AI cost</x:v>
      </x:c>
      <x:c r="H14" s="230"/>
      <x:c r="I14" s="231"/>
      <x:c r="J14" s="229" t="str">
        <x:v>Break-even active users</x:v>
      </x:c>
      <x:c r="K14" s="230"/>
      <x:c r="L14" s="231"/>
    </x:row>
    <x:row r="15">
      <x:c r="A15" s="235" t="n">
        <x:f>'Monthly Forecast'!Y5</x:f>
        <x:v>945.6029825783332</x:v>
      </x:c>
      <x:c r="B15" s="236"/>
      <x:c r="C15" s="237"/>
      <x:c r="D15" s="235" t="n">
        <x:f>'Monthly Forecast'!Y22</x:f>
        <x:v>1049.3496190635037</x:v>
      </x:c>
      <x:c r="E15" s="236"/>
      <x:c r="F15" s="237"/>
      <x:c r="G15" s="250" t="n">
        <x:f>SUM('Monthly Forecast'!T5:T22)</x:f>
        <x:v>18.308569835226642</x:v>
      </x:c>
      <x:c r="H15" s="251"/>
      <x:c r="I15" s="252"/>
      <x:c r="J15" s="232" t="n">
        <x:f>('Assumptions'!D11+'Assumptions'!D12)/(('Monthly Forecast'!N5-'Monthly Forecast'!U5-'Monthly Forecast'!T5)/'Monthly Forecast'!G5)</x:f>
        <x:v>173.37056094958587</x:v>
      </x:c>
      <x:c r="K15" s="233"/>
      <x:c r="L15" s="234"/>
    </x:row>
    <x:row r="16">
      <x:c r="A16" s="241"/>
      <x:c r="B16" s="242"/>
      <x:c r="C16" s="243"/>
      <x:c r="D16" s="241"/>
      <x:c r="E16" s="242"/>
      <x:c r="F16" s="243"/>
      <x:c r="G16" s="253"/>
      <x:c r="H16" s="254"/>
      <x:c r="I16" s="255"/>
      <x:c r="J16" s="238"/>
      <x:c r="K16" s="239"/>
      <x:c r="L16" s="240"/>
    </x:row>
    <x:row r="17">
      <x:c r="A17" s="247"/>
      <x:c r="B17" s="248"/>
      <x:c r="C17" s="249"/>
      <x:c r="D17" s="247"/>
      <x:c r="E17" s="248"/>
      <x:c r="F17" s="249"/>
      <x:c r="G17" s="256"/>
      <x:c r="H17" s="257"/>
      <x:c r="I17" s="258"/>
      <x:c r="J17" s="244"/>
      <x:c r="K17" s="245"/>
      <x:c r="L17" s="246"/>
    </x:row>
    <x:row r="18">
      <x:c r="A18" s="185"/>
      <x:c r="B18" s="185"/>
      <x:c r="C18" s="185"/>
      <x:c r="D18" s="185"/>
      <x:c r="E18" s="185"/>
      <x:c r="F18" s="185"/>
      <x:c r="G18" s="185"/>
      <x:c r="H18" s="185"/>
      <x:c r="I18" s="185"/>
      <x:c r="J18" s="185"/>
      <x:c r="K18" s="185"/>
      <x:c r="L18" s="185"/>
    </x:row>
    <x:row r="19">
      <x:c r="A19" s="185"/>
      <x:c r="B19" s="185"/>
      <x:c r="C19" s="185"/>
      <x:c r="D19" s="185"/>
      <x:c r="E19" s="185"/>
      <x:c r="F19" s="185"/>
      <x:c r="G19" s="185"/>
      <x:c r="H19" s="185"/>
      <x:c r="I19" s="185"/>
      <x:c r="J19" s="185"/>
      <x:c r="K19" s="185"/>
      <x:c r="L19" s="185"/>
    </x:row>
    <x:row r="20">
      <x:c r="A20" s="222" t="str">
        <x:v>18-month cost composition</x:v>
      </x:c>
      <x:c r="B20" s="222"/>
      <x:c r="C20" s="222"/>
      <x:c r="D20" s="222"/>
      <x:c r="E20" s="222"/>
      <x:c r="F20" s="222"/>
      <x:c r="G20" s="185"/>
      <x:c r="H20" s="185"/>
      <x:c r="I20" s="185"/>
      <x:c r="J20" s="185"/>
      <x:c r="K20" s="185"/>
      <x:c r="L20" s="185"/>
    </x:row>
    <x:row r="21">
      <x:c r="A21" s="186" t="str">
        <x:v>Cost</x:v>
      </x:c>
      <x:c r="B21" s="188" t="str">
        <x:v>18M total</x:v>
      </x:c>
      <x:c r="C21" s="185"/>
      <x:c r="D21" s="185"/>
      <x:c r="E21" s="185"/>
      <x:c r="F21" s="185"/>
      <x:c r="G21" s="185"/>
      <x:c r="H21" s="185"/>
      <x:c r="I21" s="185"/>
      <x:c r="J21" s="185"/>
      <x:c r="K21" s="185"/>
      <x:c r="L21" s="185"/>
    </x:row>
    <x:row r="22">
      <x:c r="A22" s="259" t="str">
        <x:v>Ops / hosting</x:v>
      </x:c>
      <x:c r="B22" s="260" t="n">
        <x:f>SUM('Monthly Forecast'!V5:V22)</x:f>
        <x:v>4500</x:v>
      </x:c>
      <x:c r="C22" s="185"/>
      <x:c r="D22" s="185"/>
      <x:c r="E22" s="185"/>
      <x:c r="F22" s="185"/>
      <x:c r="G22" s="185"/>
      <x:c r="H22" s="185"/>
      <x:c r="I22" s="185"/>
      <x:c r="J22" s="185"/>
      <x:c r="K22" s="185"/>
      <x:c r="L22" s="185"/>
    </x:row>
    <x:row r="23">
      <x:c r="A23" s="259" t="str">
        <x:v>Advertising</x:v>
      </x:c>
      <x:c r="B23" s="260" t="n">
        <x:f>SUM('Monthly Forecast'!W5:W22)</x:f>
        <x:v>4500</x:v>
      </x:c>
      <x:c r="C23" s="185"/>
      <x:c r="D23" s="185"/>
      <x:c r="E23" s="185"/>
      <x:c r="F23" s="185"/>
      <x:c r="G23" s="185"/>
      <x:c r="H23" s="185"/>
      <x:c r="I23" s="185"/>
      <x:c r="J23" s="185"/>
      <x:c r="K23" s="185"/>
      <x:c r="L23" s="185"/>
    </x:row>
    <x:row r="24">
      <x:c r="A24" s="259" t="str">
        <x:v>Payment fees</x:v>
      </x:c>
      <x:c r="B24" s="260" t="n">
        <x:f>SUM('Monthly Forecast'!U5:U22)</x:f>
        <x:v>1814.8579714324392</x:v>
      </x:c>
      <x:c r="C24" s="185"/>
      <x:c r="D24" s="185"/>
      <x:c r="E24" s="185"/>
      <x:c r="F24" s="185"/>
      <x:c r="G24" s="185"/>
      <x:c r="H24" s="185"/>
      <x:c r="I24" s="185"/>
      <x:c r="J24" s="185"/>
      <x:c r="K24" s="185"/>
      <x:c r="L24" s="185"/>
    </x:row>
    <x:row r="25">
      <x:c r="A25" s="261" t="str">
        <x:v>AI model cost</x:v>
      </x:c>
      <x:c r="B25" s="262" t="n">
        <x:f>SUM('Monthly Forecast'!T5:T22)</x:f>
        <x:v>18.308569835226642</x:v>
      </x:c>
      <x:c r="C25" s="185"/>
      <x:c r="D25" s="185"/>
      <x:c r="E25" s="185"/>
      <x:c r="F25" s="185"/>
      <x:c r="G25" s="185"/>
      <x:c r="H25" s="185"/>
      <x:c r="I25" s="185"/>
      <x:c r="J25" s="185"/>
      <x:c r="K25" s="185"/>
      <x:c r="L25" s="185"/>
    </x:row>
    <x:row r="26">
      <x:c r="A26" s="185"/>
      <x:c r="B26" s="185"/>
      <x:c r="C26" s="185"/>
      <x:c r="D26" s="185"/>
      <x:c r="E26" s="185"/>
      <x:c r="F26" s="185"/>
      <x:c r="G26" s="185"/>
      <x:c r="H26" s="185"/>
      <x:c r="I26" s="185"/>
      <x:c r="J26" s="185"/>
      <x:c r="K26" s="185"/>
      <x:c r="L26" s="185"/>
    </x:row>
    <x:row r="27">
      <x:c r="A27" s="185"/>
      <x:c r="B27" s="185"/>
      <x:c r="C27" s="185"/>
      <x:c r="D27" s="185"/>
      <x:c r="E27" s="185"/>
      <x:c r="F27" s="185"/>
      <x:c r="G27" s="185"/>
      <x:c r="H27" s="185"/>
      <x:c r="I27" s="185"/>
      <x:c r="J27" s="185"/>
      <x:c r="K27" s="185"/>
      <x:c r="L27" s="185"/>
    </x:row>
    <x:row r="28">
      <x:c r="A28" s="185"/>
      <x:c r="B28" s="185"/>
      <x:c r="C28" s="185"/>
      <x:c r="D28" s="185"/>
      <x:c r="E28" s="185"/>
      <x:c r="F28" s="185"/>
      <x:c r="G28" s="185"/>
      <x:c r="H28" s="185"/>
      <x:c r="I28" s="185"/>
      <x:c r="J28" s="185"/>
      <x:c r="K28" s="185"/>
      <x:c r="L28" s="185"/>
    </x:row>
    <x:row r="29">
      <x:c r="A29" s="185"/>
      <x:c r="B29" s="185"/>
      <x:c r="C29" s="185"/>
      <x:c r="D29" s="185"/>
      <x:c r="E29" s="185"/>
      <x:c r="F29" s="185"/>
      <x:c r="G29" s="185"/>
      <x:c r="H29" s="185"/>
      <x:c r="I29" s="185"/>
      <x:c r="J29" s="185"/>
      <x:c r="K29" s="185"/>
      <x:c r="L29" s="185"/>
    </x:row>
    <x:row r="30">
      <x:c r="A30" s="185"/>
      <x:c r="B30" s="185"/>
      <x:c r="C30" s="185"/>
      <x:c r="D30" s="185"/>
      <x:c r="E30" s="185"/>
      <x:c r="F30" s="185"/>
      <x:c r="G30" s="185"/>
      <x:c r="H30" s="185"/>
      <x:c r="I30" s="185"/>
      <x:c r="J30" s="185"/>
      <x:c r="K30" s="185"/>
      <x:c r="L30" s="185"/>
    </x:row>
    <x:row r="31">
      <x:c r="A31" s="185"/>
      <x:c r="B31" s="185"/>
      <x:c r="C31" s="185"/>
      <x:c r="D31" s="185"/>
      <x:c r="E31" s="185"/>
      <x:c r="F31" s="185"/>
      <x:c r="G31" s="185"/>
      <x:c r="H31" s="185"/>
      <x:c r="I31" s="185"/>
      <x:c r="J31" s="185"/>
      <x:c r="K31" s="185"/>
      <x:c r="L31" s="185"/>
    </x:row>
    <x:row r="32">
      <x:c r="A32" s="185"/>
      <x:c r="B32" s="185"/>
      <x:c r="C32" s="185"/>
      <x:c r="D32" s="185"/>
      <x:c r="E32" s="185"/>
      <x:c r="F32" s="185"/>
      <x:c r="G32" s="185"/>
      <x:c r="H32" s="185"/>
      <x:c r="I32" s="185"/>
      <x:c r="J32" s="185"/>
      <x:c r="K32" s="185"/>
      <x:c r="L32" s="185"/>
    </x:row>
    <x:row r="33">
      <x:c r="A33" s="185"/>
      <x:c r="B33" s="185"/>
      <x:c r="C33" s="185"/>
      <x:c r="D33" s="185"/>
      <x:c r="E33" s="185"/>
      <x:c r="F33" s="185"/>
      <x:c r="G33" s="185"/>
      <x:c r="H33" s="185"/>
      <x:c r="I33" s="185"/>
      <x:c r="J33" s="185"/>
      <x:c r="K33" s="185"/>
      <x:c r="L33" s="185"/>
    </x:row>
    <x:row r="34">
      <x:c r="A34" s="185"/>
      <x:c r="B34" s="185"/>
      <x:c r="C34" s="185"/>
      <x:c r="D34" s="185"/>
      <x:c r="E34" s="185"/>
      <x:c r="F34" s="185"/>
      <x:c r="G34" s="185"/>
      <x:c r="H34" s="185"/>
      <x:c r="I34" s="185"/>
      <x:c r="J34" s="185"/>
      <x:c r="K34" s="185"/>
      <x:c r="L34" s="185"/>
    </x:row>
    <x:row r="35">
      <x:c r="A35" s="185"/>
      <x:c r="B35" s="185"/>
      <x:c r="C35" s="185"/>
      <x:c r="D35" s="185"/>
      <x:c r="E35" s="185"/>
      <x:c r="F35" s="185"/>
      <x:c r="G35" s="185"/>
      <x:c r="H35" s="185"/>
      <x:c r="I35" s="185"/>
      <x:c r="J35" s="185"/>
      <x:c r="K35" s="185"/>
      <x:c r="L35" s="185"/>
    </x:row>
    <x:row r="36">
      <x:c r="A36" s="185"/>
      <x:c r="B36" s="185"/>
      <x:c r="C36" s="185"/>
      <x:c r="D36" s="185"/>
      <x:c r="E36" s="185"/>
      <x:c r="F36" s="185"/>
      <x:c r="G36" s="185"/>
      <x:c r="H36" s="185"/>
      <x:c r="I36" s="185"/>
      <x:c r="J36" s="185"/>
      <x:c r="K36" s="185"/>
      <x:c r="L36" s="185"/>
    </x:row>
    <x:row r="37">
      <x:c r="A37" s="185"/>
      <x:c r="B37" s="185"/>
      <x:c r="C37" s="185"/>
      <x:c r="D37" s="185"/>
      <x:c r="E37" s="185"/>
      <x:c r="F37" s="185"/>
      <x:c r="G37" s="185"/>
      <x:c r="H37" s="185"/>
      <x:c r="I37" s="185"/>
      <x:c r="J37" s="185"/>
      <x:c r="K37" s="185"/>
      <x:c r="L37" s="185"/>
    </x:row>
    <x:row r="38">
      <x:c r="A38" s="185"/>
      <x:c r="B38" s="185"/>
      <x:c r="C38" s="185"/>
      <x:c r="D38" s="185"/>
      <x:c r="E38" s="185"/>
      <x:c r="F38" s="185"/>
      <x:c r="G38" s="185"/>
      <x:c r="H38" s="185"/>
      <x:c r="I38" s="185"/>
      <x:c r="J38" s="185"/>
      <x:c r="K38" s="185"/>
      <x:c r="L38" s="185"/>
    </x:row>
    <x:row r="39">
      <x:c r="A39" s="185"/>
      <x:c r="B39" s="185"/>
      <x:c r="C39" s="185"/>
      <x:c r="D39" s="185"/>
      <x:c r="E39" s="185"/>
      <x:c r="F39" s="185"/>
      <x:c r="G39" s="185"/>
      <x:c r="H39" s="185"/>
      <x:c r="I39" s="185"/>
      <x:c r="J39" s="185"/>
      <x:c r="K39" s="185"/>
      <x:c r="L39" s="185"/>
    </x:row>
    <x:row r="40">
      <x:c r="A40" s="185"/>
      <x:c r="B40" s="185"/>
      <x:c r="C40" s="185"/>
      <x:c r="D40" s="185"/>
      <x:c r="E40" s="185"/>
      <x:c r="F40" s="185"/>
      <x:c r="G40" s="185"/>
      <x:c r="H40" s="185"/>
      <x:c r="I40" s="185"/>
      <x:c r="J40" s="185"/>
      <x:c r="K40" s="185"/>
      <x:c r="L40" s="185"/>
    </x:row>
    <x:row r="41">
      <x:c r="A41" s="185"/>
      <x:c r="B41" s="185"/>
      <x:c r="C41" s="185"/>
      <x:c r="D41" s="185"/>
      <x:c r="E41" s="185"/>
      <x:c r="F41" s="185"/>
      <x:c r="G41" s="185"/>
      <x:c r="H41" s="185"/>
      <x:c r="I41" s="185"/>
      <x:c r="J41" s="185"/>
      <x:c r="K41" s="185"/>
      <x:c r="L41" s="185"/>
    </x:row>
    <x:row r="42">
      <x:c r="A42" s="185"/>
      <x:c r="B42" s="185"/>
      <x:c r="C42" s="185"/>
      <x:c r="D42" s="185"/>
      <x:c r="E42" s="185"/>
      <x:c r="F42" s="185"/>
      <x:c r="G42" s="185"/>
      <x:c r="H42" s="185"/>
      <x:c r="I42" s="185"/>
      <x:c r="J42" s="185"/>
      <x:c r="K42" s="185"/>
      <x:c r="L42" s="185"/>
    </x:row>
    <x:row r="43">
      <x:c r="A43" s="222" t="str">
        <x:v>Recommended decisions</x:v>
      </x:c>
      <x:c r="B43" s="222"/>
      <x:c r="C43" s="222"/>
      <x:c r="D43" s="222"/>
      <x:c r="E43" s="222"/>
      <x:c r="F43" s="222"/>
      <x:c r="G43" s="222"/>
      <x:c r="H43" s="222"/>
      <x:c r="I43" s="222"/>
      <x:c r="J43" s="222"/>
      <x:c r="K43" s="222"/>
      <x:c r="L43" s="222"/>
    </x:row>
    <x:row r="44" ht="30" customHeight="1">
      <x:c r="A44" s="228" t="str">
        <x:v>1. Keep the base prices at $9.99 Personal and $19.99 Premium for launch; the model does not need a price increase to cover AI.</x:v>
      </x:c>
      <x:c r="B44" s="228"/>
      <x:c r="C44" s="228"/>
      <x:c r="D44" s="228"/>
      <x:c r="E44" s="228"/>
      <x:c r="F44" s="228"/>
      <x:c r="G44" s="228"/>
      <x:c r="H44" s="228"/>
      <x:c r="I44" s="228"/>
      <x:c r="J44" s="228"/>
      <x:c r="K44" s="228"/>
      <x:c r="L44" s="228"/>
    </x:row>
    <x:row r="45" ht="30" customHeight="1">
      <x:c r="A45" s="228" t="str">
        <x:v>2. Treat paid conversion and retention as the critical gates. A 20% paid mix is the base assumption; the Conservative case uses 15%.</x:v>
      </x:c>
      <x:c r="B45" s="228"/>
      <x:c r="C45" s="228"/>
      <x:c r="D45" s="228"/>
      <x:c r="E45" s="228"/>
      <x:c r="F45" s="228"/>
      <x:c r="G45" s="228"/>
      <x:c r="H45" s="228"/>
      <x:c r="I45" s="228"/>
      <x:c r="J45" s="228"/>
      <x:c r="K45" s="228"/>
      <x:c r="L45" s="228"/>
    </x:row>
    <x:row r="46" ht="30" customHeight="1">
      <x:c r="A46" s="228" t="str">
        <x:v>3. Keep the $5 add-on as a multi-reading credit pack. The $0.30 fixed payment fee makes frequent tiny transactions inefficient.</x:v>
      </x:c>
      <x:c r="B46" s="228"/>
      <x:c r="C46" s="228"/>
      <x:c r="D46" s="228"/>
      <x:c r="E46" s="228"/>
      <x:c r="F46" s="228"/>
      <x:c r="G46" s="228"/>
      <x:c r="H46" s="228"/>
      <x:c r="I46" s="228"/>
      <x:c r="J46" s="228"/>
      <x:c r="K46" s="228"/>
      <x:c r="L46" s="228"/>
    </x:row>
    <x:row r="47" ht="30" customHeight="1">
      <x:c r="A47" s="228" t="str">
        <x:v>4. Instrument CAC, 30/60/90-day retention, tier migration, pack attach rate, report attach rate, and retry/token usage before revising entitlements.</x:v>
      </x:c>
      <x:c r="B47" s="228"/>
      <x:c r="C47" s="228"/>
      <x:c r="D47" s="228"/>
      <x:c r="E47" s="228"/>
      <x:c r="F47" s="228"/>
      <x:c r="G47" s="228"/>
      <x:c r="H47" s="228"/>
      <x:c r="I47" s="228"/>
      <x:c r="J47" s="228"/>
      <x:c r="K47" s="228"/>
      <x:c r="L47" s="228"/>
    </x:row>
    <x:row r="48" ht="30" customHeight="1">
      <x:c r="A48" s="228" t="str">
        <x:v>5. Do not treat this contribution forecast as authorization to enable paid reports; complete the existing legal, licensing, security, and operational release gates first.</x:v>
      </x:c>
      <x:c r="B48" s="228"/>
      <x:c r="C48" s="228"/>
      <x:c r="D48" s="228"/>
      <x:c r="E48" s="228"/>
      <x:c r="F48" s="228"/>
      <x:c r="G48" s="228"/>
      <x:c r="H48" s="228"/>
      <x:c r="I48" s="228"/>
      <x:c r="J48" s="228"/>
      <x:c r="K48" s="228"/>
      <x:c r="L48" s="228"/>
    </x:row>
  </x:sheetData>
  <x:mergeCells>
    <x:mergeCell ref="A1:L1"/>
    <x:mergeCell ref="A2:L2"/>
    <x:mergeCell ref="A4:L4"/>
    <x:mergeCell ref="A5:L5"/>
    <x:mergeCell ref="A6:L6"/>
    <x:mergeCell ref="A7:L7"/>
    <x:mergeCell ref="A9:C9"/>
    <x:mergeCell ref="A10:C12"/>
    <x:mergeCell ref="D9:F9"/>
    <x:mergeCell ref="D10:F12"/>
    <x:mergeCell ref="G9:I9"/>
    <x:mergeCell ref="G10:I12"/>
    <x:mergeCell ref="J9:L9"/>
    <x:mergeCell ref="J10:L12"/>
    <x:mergeCell ref="A14:C14"/>
    <x:mergeCell ref="A15:C17"/>
    <x:mergeCell ref="D14:F14"/>
    <x:mergeCell ref="D15:F17"/>
    <x:mergeCell ref="G14:I14"/>
    <x:mergeCell ref="G15:I17"/>
    <x:mergeCell ref="J14:L14"/>
    <x:mergeCell ref="J15:L17"/>
    <x:mergeCell ref="A20:F20"/>
    <x:mergeCell ref="A43:L43"/>
    <x:mergeCell ref="A44:L44"/>
    <x:mergeCell ref="A45:L45"/>
    <x:mergeCell ref="A46:L46"/>
    <x:mergeCell ref="A47:L47"/>
    <x:mergeCell ref="A48:L48"/>
  </x:mergeCells>
  <x:pageMargins left="0.7" right="0.7" top="0.75" bottom="0.75" header="0.3" footer="0.3"/>
  <x:drawing xmlns:r="http://schemas.openxmlformats.org/officeDocument/2006/relationships" r:id="R2a574fa99e2b4ad9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1" hidden="0" customWidth="1"/>
    <x:col min="3" max="3" width="14" hidden="0" customWidth="1"/>
    <x:col min="4" max="4" width="14" hidden="0" customWidth="1"/>
    <x:col min="5" max="5" width="14" hidden="0" customWidth="1"/>
    <x:col min="6" max="6" width="22" hidden="0" customWidth="1"/>
    <x:col min="7" max="7" width="48" hidden="0" customWidth="1"/>
    <x:col min="8" max="8" width="12" hidden="0" customWidth="1"/>
  </x:cols>
  <x:sheetData>
    <x:row r="1" ht="34" customHeight="1">
      <x:c r="A1" s="183" t="str">
        <x:v>Celestial Atlas — Monetization Assumptions</x:v>
      </x:c>
      <x:c r="B1" s="183"/>
      <x:c r="C1" s="183"/>
      <x:c r="D1" s="183"/>
      <x:c r="E1" s="183"/>
      <x:c r="F1" s="183"/>
      <x:c r="G1" s="183"/>
      <x:c r="H1" s="183"/>
    </x:row>
    <x:row r="2" ht="28" customHeight="1">
      <x:c r="A2" s="184" t="str">
        <x:v>Editable inputs are blue on pale gold. Base case is used in the monthly forecast; Conservative and Upside drive scenario analysis. USD, monthly model, August 2026 start.</x:v>
      </x:c>
      <x:c r="B2" s="184"/>
      <x:c r="C2" s="184"/>
      <x:c r="D2" s="184"/>
      <x:c r="E2" s="184"/>
      <x:c r="F2" s="184"/>
      <x:c r="G2" s="184"/>
      <x:c r="H2" s="184"/>
    </x:row>
    <x:row r="3">
      <x:c r="A3" s="185"/>
      <x:c r="B3" s="185"/>
      <x:c r="C3" s="185"/>
      <x:c r="D3" s="185"/>
      <x:c r="E3" s="185"/>
      <x:c r="F3" s="185"/>
      <x:c r="G3" s="185"/>
      <x:c r="H3" s="185"/>
    </x:row>
    <x:row r="4">
      <x:c r="A4" s="186" t="str">
        <x:v>Category</x:v>
      </x:c>
      <x:c r="B4" s="187" t="str">
        <x:v>Assumption</x:v>
      </x:c>
      <x:c r="C4" s="187" t="str">
        <x:v>Conservative</x:v>
      </x:c>
      <x:c r="D4" s="187" t="str">
        <x:v>Base</x:v>
      </x:c>
      <x:c r="E4" s="187" t="str">
        <x:v>Upside</x:v>
      </x:c>
      <x:c r="F4" s="187" t="str">
        <x:v>Unit</x:v>
      </x:c>
      <x:c r="G4" s="187" t="str">
        <x:v>Notes</x:v>
      </x:c>
      <x:c r="H4" s="188" t="str">
        <x:v>Source ID</x:v>
      </x:c>
    </x:row>
    <x:row r="5">
      <x:c r="A5" s="189" t="str">
        <x:v>User base</x:v>
      </x:c>
      <x:c r="B5" s="189" t="str">
        <x:v>Starting active users</x:v>
      </x:c>
      <x:c r="C5" s="190" t="n">
        <x:v>500</x:v>
      </x:c>
      <x:c r="D5" s="190" t="n">
        <x:v>500</x:v>
      </x:c>
      <x:c r="E5" s="190" t="n">
        <x:v>500</x:v>
      </x:c>
      <x:c r="F5" s="189" t="str">
        <x:v>users</x:v>
      </x:c>
      <x:c r="G5" s="189" t="str">
        <x:v>Starting cohort supplied by user</x:v>
      </x:c>
      <x:c r="H5" s="189" t="str">
        <x:v>USR-01</x:v>
      </x:c>
    </x:row>
    <x:row r="6">
      <x:c r="A6" s="191" t="str">
        <x:v>Tier mix</x:v>
      </x:c>
      <x:c r="B6" s="191" t="str">
        <x:v>Free share</x:v>
      </x:c>
      <x:c r="C6" s="192" t="n">
        <x:v>0.85</x:v>
      </x:c>
      <x:c r="D6" s="192" t="n">
        <x:v>0.8</x:v>
      </x:c>
      <x:c r="E6" s="192" t="n">
        <x:v>0.7</x:v>
      </x:c>
      <x:c r="F6" s="191" t="str">
        <x:v>%</x:v>
      </x:c>
      <x:c r="G6" s="191" t="str">
        <x:v>Mix is held constant within each scenario</x:v>
      </x:c>
      <x:c r="H6" s="191" t="str">
        <x:v>ASM-01</x:v>
      </x:c>
    </x:row>
    <x:row r="7">
      <x:c r="A7" s="191" t="str">
        <x:v>Tier mix</x:v>
      </x:c>
      <x:c r="B7" s="191" t="str">
        <x:v>Personal share</x:v>
      </x:c>
      <x:c r="C7" s="192" t="n">
        <x:v>0.12</x:v>
      </x:c>
      <x:c r="D7" s="192" t="n">
        <x:v>0.16</x:v>
      </x:c>
      <x:c r="E7" s="192" t="n">
        <x:v>0.23</x:v>
      </x:c>
      <x:c r="F7" s="191" t="str">
        <x:v>%</x:v>
      </x:c>
      <x:c r="G7" s="191" t="str">
        <x:v>$9.99 monthly tier</x:v>
      </x:c>
      <x:c r="H7" s="191" t="str">
        <x:v>ASM-01</x:v>
      </x:c>
    </x:row>
    <x:row r="8">
      <x:c r="A8" s="191" t="str">
        <x:v>Tier mix</x:v>
      </x:c>
      <x:c r="B8" s="191" t="str">
        <x:v>Premium share</x:v>
      </x:c>
      <x:c r="C8" s="192" t="n">
        <x:v>0.03</x:v>
      </x:c>
      <x:c r="D8" s="192" t="n">
        <x:v>0.04</x:v>
      </x:c>
      <x:c r="E8" s="192" t="n">
        <x:v>0.07</x:v>
      </x:c>
      <x:c r="F8" s="191" t="str">
        <x:v>%</x:v>
      </x:c>
      <x:c r="G8" s="191" t="str">
        <x:v>$19.99 monthly tier</x:v>
      </x:c>
      <x:c r="H8" s="191" t="str">
        <x:v>ASM-01</x:v>
      </x:c>
    </x:row>
    <x:row r="9">
      <x:c r="A9" s="191" t="str">
        <x:v>Pricing</x:v>
      </x:c>
      <x:c r="B9" s="191" t="str">
        <x:v>Personal monthly price</x:v>
      </x:c>
      <x:c r="C9" s="193" t="n">
        <x:v>9.99</x:v>
      </x:c>
      <x:c r="D9" s="193" t="n">
        <x:v>9.99</x:v>
      </x:c>
      <x:c r="E9" s="193" t="n">
        <x:v>9.99</x:v>
      </x:c>
      <x:c r="F9" s="191" t="str">
        <x:v>USD</x:v>
      </x:c>
      <x:c r="G9" s="191" t="str">
        <x:v>Monthly billing assumed; annual plans excluded</x:v>
      </x:c>
      <x:c r="H9" s="191" t="str">
        <x:v>ASM-02</x:v>
      </x:c>
    </x:row>
    <x:row r="10">
      <x:c r="A10" s="191" t="str">
        <x:v>Pricing</x:v>
      </x:c>
      <x:c r="B10" s="191" t="str">
        <x:v>Premium monthly price</x:v>
      </x:c>
      <x:c r="C10" s="193" t="n">
        <x:v>19.99</x:v>
      </x:c>
      <x:c r="D10" s="193" t="n">
        <x:v>19.99</x:v>
      </x:c>
      <x:c r="E10" s="193" t="n">
        <x:v>19.99</x:v>
      </x:c>
      <x:c r="F10" s="191" t="str">
        <x:v>USD</x:v>
      </x:c>
      <x:c r="G10" s="191" t="str">
        <x:v>Monthly billing assumed; annual plans excluded</x:v>
      </x:c>
      <x:c r="H10" s="191" t="str">
        <x:v>ASM-02</x:v>
      </x:c>
    </x:row>
    <x:row r="11">
      <x:c r="A11" s="191" t="str">
        <x:v>Fixed cost</x:v>
      </x:c>
      <x:c r="B11" s="191" t="str">
        <x:v>Hosting / operations</x:v>
      </x:c>
      <x:c r="C11" s="193" t="n">
        <x:v>250</x:v>
      </x:c>
      <x:c r="D11" s="193" t="n">
        <x:v>250</x:v>
      </x:c>
      <x:c r="E11" s="193" t="n">
        <x:v>250</x:v>
      </x:c>
      <x:c r="F11" s="191" t="str">
        <x:v>USD/month</x:v>
      </x:c>
      <x:c r="G11" s="191" t="str">
        <x:v>Half of $500 combined monthly operating and advertising budget</x:v>
      </x:c>
      <x:c r="H11" s="191" t="str">
        <x:v>USR-02</x:v>
      </x:c>
    </x:row>
    <x:row r="12">
      <x:c r="A12" s="191" t="str">
        <x:v>Fixed cost</x:v>
      </x:c>
      <x:c r="B12" s="191" t="str">
        <x:v>Advertising</x:v>
      </x:c>
      <x:c r="C12" s="193" t="n">
        <x:v>250</x:v>
      </x:c>
      <x:c r="D12" s="193" t="n">
        <x:v>250</x:v>
      </x:c>
      <x:c r="E12" s="193" t="n">
        <x:v>250</x:v>
      </x:c>
      <x:c r="F12" s="191" t="str">
        <x:v>USD/month</x:v>
      </x:c>
      <x:c r="G12" s="191" t="str">
        <x:v>Half of $500 combined monthly operating and advertising budget</x:v>
      </x:c>
      <x:c r="H12" s="191" t="str">
        <x:v>USR-03</x:v>
      </x:c>
    </x:row>
    <x:row r="13">
      <x:c r="A13" s="191" t="str">
        <x:v>Growth</x:v>
      </x:c>
      <x:c r="B13" s="191" t="str">
        <x:v>Paid acquisition CAC</x:v>
      </x:c>
      <x:c r="C13" s="193" t="n">
        <x:v>25</x:v>
      </x:c>
      <x:c r="D13" s="193" t="n">
        <x:v>20</x:v>
      </x:c>
      <x:c r="E13" s="193" t="n">
        <x:v>15</x:v>
      </x:c>
      <x:c r="F13" s="191" t="str">
        <x:v>USD/user</x:v>
      </x:c>
      <x:c r="G13" s="191" t="str">
        <x:v>Planning assumption; validate with campaign data</x:v>
      </x:c>
      <x:c r="H13" s="191" t="str">
        <x:v>ASM-03</x:v>
      </x:c>
    </x:row>
    <x:row r="14">
      <x:c r="A14" s="191" t="str">
        <x:v>Growth</x:v>
      </x:c>
      <x:c r="B14" s="191" t="str">
        <x:v>Organic additions</x:v>
      </x:c>
      <x:c r="C14" s="192" t="n">
        <x:v>0.005</x:v>
      </x:c>
      <x:c r="D14" s="192" t="n">
        <x:v>0.01</x:v>
      </x:c>
      <x:c r="E14" s="192" t="n">
        <x:v>0.015</x:v>
      </x:c>
      <x:c r="F14" s="191" t="str">
        <x:v>% of opening users/month</x:v>
      </x:c>
      <x:c r="G14" s="191" t="str">
        <x:v>Planning assumption</x:v>
      </x:c>
      <x:c r="H14" s="191" t="str">
        <x:v>ASM-04</x:v>
      </x:c>
    </x:row>
    <x:row r="15">
      <x:c r="A15" s="191" t="str">
        <x:v>Growth</x:v>
      </x:c>
      <x:c r="B15" s="191" t="str">
        <x:v>Monthly churn</x:v>
      </x:c>
      <x:c r="C15" s="192" t="n">
        <x:v>0.04</x:v>
      </x:c>
      <x:c r="D15" s="192" t="n">
        <x:v>0.03</x:v>
      </x:c>
      <x:c r="E15" s="192" t="n">
        <x:v>0.025</x:v>
      </x:c>
      <x:c r="F15" s="191" t="str">
        <x:v>% of opening users/month</x:v>
      </x:c>
      <x:c r="G15" s="191" t="str">
        <x:v>Blended cross-tier planning assumption</x:v>
      </x:c>
      <x:c r="H15" s="191" t="str">
        <x:v>ASM-05</x:v>
      </x:c>
    </x:row>
    <x:row r="16">
      <x:c r="A16" s="191" t="str">
        <x:v>Add-ons</x:v>
      </x:c>
      <x:c r="B16" s="191" t="str">
        <x:v>Daily-reading pack price</x:v>
      </x:c>
      <x:c r="C16" s="193" t="n">
        <x:v>5</x:v>
      </x:c>
      <x:c r="D16" s="193" t="n">
        <x:v>5</x:v>
      </x:c>
      <x:c r="E16" s="193" t="n">
        <x:v>5</x:v>
      </x:c>
      <x:c r="F16" s="191" t="str">
        <x:v>USD</x:v>
      </x:c>
      <x:c r="G16" s="191" t="str">
        <x:v>One pack transaction; recommended 7 credits</x:v>
      </x:c>
      <x:c r="H16" s="191" t="str">
        <x:v>ASM-06</x:v>
      </x:c>
    </x:row>
    <x:row r="17">
      <x:c r="A17" s="191" t="str">
        <x:v>Add-ons</x:v>
      </x:c>
      <x:c r="B17" s="191" t="str">
        <x:v>Free pack purchase rate</x:v>
      </x:c>
      <x:c r="C17" s="192" t="n">
        <x:v>0.08</x:v>
      </x:c>
      <x:c r="D17" s="192" t="n">
        <x:v>0.08</x:v>
      </x:c>
      <x:c r="E17" s="192" t="n">
        <x:v>0.08</x:v>
      </x:c>
      <x:c r="F17" s="191" t="str">
        <x:v>% users/month</x:v>
      </x:c>
      <x:c r="G17" s="191" t="str">
        <x:v>Planning assumption</x:v>
      </x:c>
      <x:c r="H17" s="191" t="str">
        <x:v>ASM-07</x:v>
      </x:c>
    </x:row>
    <x:row r="18">
      <x:c r="A18" s="191" t="str">
        <x:v>Add-ons</x:v>
      </x:c>
      <x:c r="B18" s="191" t="str">
        <x:v>Personal pack purchase rate</x:v>
      </x:c>
      <x:c r="C18" s="192" t="n">
        <x:v>0.03</x:v>
      </x:c>
      <x:c r="D18" s="192" t="n">
        <x:v>0.03</x:v>
      </x:c>
      <x:c r="E18" s="192" t="n">
        <x:v>0.03</x:v>
      </x:c>
      <x:c r="F18" s="191" t="str">
        <x:v>% users/month</x:v>
      </x:c>
      <x:c r="G18" s="191" t="str">
        <x:v>Planning assumption</x:v>
      </x:c>
      <x:c r="H18" s="191" t="str">
        <x:v>ASM-07</x:v>
      </x:c>
    </x:row>
    <x:row r="19">
      <x:c r="A19" s="191" t="str">
        <x:v>Add-ons</x:v>
      </x:c>
      <x:c r="B19" s="191" t="str">
        <x:v>Premium pack purchase rate</x:v>
      </x:c>
      <x:c r="C19" s="192" t="n">
        <x:v>0.01</x:v>
      </x:c>
      <x:c r="D19" s="192" t="n">
        <x:v>0.01</x:v>
      </x:c>
      <x:c r="E19" s="192" t="n">
        <x:v>0.01</x:v>
      </x:c>
      <x:c r="F19" s="191" t="str">
        <x:v>% users/month</x:v>
      </x:c>
      <x:c r="G19" s="191" t="str">
        <x:v>Planning assumption</x:v>
      </x:c>
      <x:c r="H19" s="191" t="str">
        <x:v>ASM-07</x:v>
      </x:c>
    </x:row>
    <x:row r="20">
      <x:c r="A20" s="191" t="str">
        <x:v>Reports</x:v>
      </x:c>
      <x:c r="B20" s="191" t="str">
        <x:v>Standard report list price</x:v>
      </x:c>
      <x:c r="C20" s="193" t="n">
        <x:v>14.99</x:v>
      </x:c>
      <x:c r="D20" s="193" t="n">
        <x:v>14.99</x:v>
      </x:c>
      <x:c r="E20" s="193" t="n">
        <x:v>14.99</x:v>
      </x:c>
      <x:c r="F20" s="191" t="str">
        <x:v>USD</x:v>
      </x:c>
      <x:c r="G20" s="191" t="str">
        <x:v>Future Trends at $29.99 excluded from base forecast</x:v>
      </x:c>
      <x:c r="H20" s="191" t="str">
        <x:v>ASM-08</x:v>
      </x:c>
    </x:row>
    <x:row r="21">
      <x:c r="A21" s="191" t="str">
        <x:v>Reports</x:v>
      </x:c>
      <x:c r="B21" s="191" t="str">
        <x:v>Personal report discount</x:v>
      </x:c>
      <x:c r="C21" s="192" t="n">
        <x:v>0.1</x:v>
      </x:c>
      <x:c r="D21" s="192" t="n">
        <x:v>0.1</x:v>
      </x:c>
      <x:c r="E21" s="192" t="n">
        <x:v>0.1</x:v>
      </x:c>
      <x:c r="F21" s="191" t="str">
        <x:v>%</x:v>
      </x:c>
      <x:c r="G21" s="191" t="str">
        <x:v>Applied to paid standard reports</x:v>
      </x:c>
      <x:c r="H21" s="191" t="str">
        <x:v>ASM-09</x:v>
      </x:c>
    </x:row>
    <x:row r="22">
      <x:c r="A22" s="191" t="str">
        <x:v>Reports</x:v>
      </x:c>
      <x:c r="B22" s="191" t="str">
        <x:v>Premium report discount</x:v>
      </x:c>
      <x:c r="C22" s="192" t="n">
        <x:v>0.2</x:v>
      </x:c>
      <x:c r="D22" s="192" t="n">
        <x:v>0.2</x:v>
      </x:c>
      <x:c r="E22" s="192" t="n">
        <x:v>0.2</x:v>
      </x:c>
      <x:c r="F22" s="191" t="str">
        <x:v>%</x:v>
      </x:c>
      <x:c r="G22" s="191" t="str">
        <x:v>Applied to paid standard reports</x:v>
      </x:c>
      <x:c r="H22" s="191" t="str">
        <x:v>ASM-09</x:v>
      </x:c>
    </x:row>
    <x:row r="23">
      <x:c r="A23" s="191" t="str">
        <x:v>Reports</x:v>
      </x:c>
      <x:c r="B23" s="191" t="str">
        <x:v>Free report purchase rate</x:v>
      </x:c>
      <x:c r="C23" s="192" t="n">
        <x:v>0.02</x:v>
      </x:c>
      <x:c r="D23" s="192" t="n">
        <x:v>0.02</x:v>
      </x:c>
      <x:c r="E23" s="192" t="n">
        <x:v>0.02</x:v>
      </x:c>
      <x:c r="F23" s="191" t="str">
        <x:v>% users/month</x:v>
      </x:c>
      <x:c r="G23" s="191" t="str">
        <x:v>Planning assumption</x:v>
      </x:c>
      <x:c r="H23" s="191" t="str">
        <x:v>ASM-10</x:v>
      </x:c>
    </x:row>
    <x:row r="24">
      <x:c r="A24" s="191" t="str">
        <x:v>Reports</x:v>
      </x:c>
      <x:c r="B24" s="191" t="str">
        <x:v>Personal report purchase rate</x:v>
      </x:c>
      <x:c r="C24" s="192" t="n">
        <x:v>0.04</x:v>
      </x:c>
      <x:c r="D24" s="192" t="n">
        <x:v>0.04</x:v>
      </x:c>
      <x:c r="E24" s="192" t="n">
        <x:v>0.04</x:v>
      </x:c>
      <x:c r="F24" s="191" t="str">
        <x:v>% users/month</x:v>
      </x:c>
      <x:c r="G24" s="191" t="str">
        <x:v>Planning assumption</x:v>
      </x:c>
      <x:c r="H24" s="191" t="str">
        <x:v>ASM-10</x:v>
      </x:c>
    </x:row>
    <x:row r="25">
      <x:c r="A25" s="191" t="str">
        <x:v>Reports</x:v>
      </x:c>
      <x:c r="B25" s="191" t="str">
        <x:v>Premium report purchase rate</x:v>
      </x:c>
      <x:c r="C25" s="192" t="n">
        <x:v>0.02</x:v>
      </x:c>
      <x:c r="D25" s="192" t="n">
        <x:v>0.02</x:v>
      </x:c>
      <x:c r="E25" s="192" t="n">
        <x:v>0.02</x:v>
      </x:c>
      <x:c r="F25" s="191" t="str">
        <x:v>% users/month</x:v>
      </x:c>
      <x:c r="G25" s="191" t="str">
        <x:v>Additional purchases beyond included credit</x:v>
      </x:c>
      <x:c r="H25" s="191" t="str">
        <x:v>ASM-10</x:v>
      </x:c>
    </x:row>
    <x:row r="26">
      <x:c r="A26" s="191" t="str">
        <x:v>Reports</x:v>
      </x:c>
      <x:c r="B26" s="191" t="str">
        <x:v>Premium included reports</x:v>
      </x:c>
      <x:c r="C26" s="194" t="n">
        <x:v>0.3333333333333333</x:v>
      </x:c>
      <x:c r="D26" s="194" t="n">
        <x:v>0.3333333333333333</x:v>
      </x:c>
      <x:c r="E26" s="194" t="n">
        <x:v>0.3333333333333333</x:v>
      </x:c>
      <x:c r="F26" s="191" t="str">
        <x:v>reports/user/month</x:v>
      </x:c>
      <x:c r="G26" s="191" t="str">
        <x:v>One standard report credit every three months</x:v>
      </x:c>
      <x:c r="H26" s="191" t="str">
        <x:v>ASM-11</x:v>
      </x:c>
    </x:row>
    <x:row r="27">
      <x:c r="A27" s="191" t="str">
        <x:v>AI pricing</x:v>
      </x:c>
      <x:c r="B27" s="191" t="str">
        <x:v>GPT-5 mini input price</x:v>
      </x:c>
      <x:c r="C27" s="193" t="n">
        <x:v>0.25</x:v>
      </x:c>
      <x:c r="D27" s="193" t="n">
        <x:v>0.25</x:v>
      </x:c>
      <x:c r="E27" s="193" t="n">
        <x:v>0.25</x:v>
      </x:c>
      <x:c r="F27" s="191" t="str">
        <x:v>USD/1M tokens</x:v>
      </x:c>
      <x:c r="G27" s="191" t="str">
        <x:v>Official OpenAI price</x:v>
      </x:c>
      <x:c r="H27" s="191" t="str">
        <x:v>OAI-01</x:v>
      </x:c>
    </x:row>
    <x:row r="28">
      <x:c r="A28" s="191" t="str">
        <x:v>AI pricing</x:v>
      </x:c>
      <x:c r="B28" s="191" t="str">
        <x:v>GPT-5 mini output price</x:v>
      </x:c>
      <x:c r="C28" s="193" t="n">
        <x:v>2</x:v>
      </x:c>
      <x:c r="D28" s="193" t="n">
        <x:v>2</x:v>
      </x:c>
      <x:c r="E28" s="193" t="n">
        <x:v>2</x:v>
      </x:c>
      <x:c r="F28" s="191" t="str">
        <x:v>USD/1M tokens</x:v>
      </x:c>
      <x:c r="G28" s="191" t="str">
        <x:v>Official OpenAI price</x:v>
      </x:c>
      <x:c r="H28" s="191" t="str">
        <x:v>OAI-01</x:v>
      </x:c>
    </x:row>
    <x:row r="29">
      <x:c r="A29" s="191" t="str">
        <x:v>AI usage</x:v>
      </x:c>
      <x:c r="B29" s="191" t="str">
        <x:v>Long-report input tokens</x:v>
      </x:c>
      <x:c r="C29" s="195" t="n">
        <x:v>15000</x:v>
      </x:c>
      <x:c r="D29" s="195" t="n">
        <x:v>15000</x:v>
      </x:c>
      <x:c r="E29" s="195" t="n">
        <x:v>15000</x:v>
      </x:c>
      <x:c r="F29" s="191" t="str">
        <x:v>tokens/attempt</x:v>
      </x:c>
      <x:c r="G29" s="191" t="str">
        <x:v>Conservative planning allowance</x:v>
      </x:c>
      <x:c r="H29" s="191" t="str">
        <x:v>ASM-12</x:v>
      </x:c>
    </x:row>
    <x:row r="30">
      <x:c r="A30" s="191" t="str">
        <x:v>AI usage</x:v>
      </x:c>
      <x:c r="B30" s="191" t="str">
        <x:v>Long-report output tokens</x:v>
      </x:c>
      <x:c r="C30" s="195" t="n">
        <x:v>20000</x:v>
      </x:c>
      <x:c r="D30" s="195" t="n">
        <x:v>20000</x:v>
      </x:c>
      <x:c r="E30" s="195" t="n">
        <x:v>20000</x:v>
      </x:c>
      <x:c r="F30" s="191" t="str">
        <x:v>tokens/attempt</x:v>
      </x:c>
      <x:c r="G30" s="191" t="str">
        <x:v>Conservative planning allowance</x:v>
      </x:c>
      <x:c r="H30" s="191" t="str">
        <x:v>ASM-12</x:v>
      </x:c>
    </x:row>
    <x:row r="31">
      <x:c r="A31" s="191" t="str">
        <x:v>AI usage</x:v>
      </x:c>
      <x:c r="B31" s="191" t="str">
        <x:v>Average report attempts</x:v>
      </x:c>
      <x:c r="C31" s="196" t="n">
        <x:v>1.1</x:v>
      </x:c>
      <x:c r="D31" s="196" t="n">
        <x:v>1.1</x:v>
      </x:c>
      <x:c r="E31" s="196" t="n">
        <x:v>1.1</x:v>
      </x:c>
      <x:c r="F31" s="191" t="str">
        <x:v>attempts/report</x:v>
      </x:c>
      <x:c r="G31" s="191" t="str">
        <x:v>Allows 10% retry overhead</x:v>
      </x:c>
      <x:c r="H31" s="191" t="str">
        <x:v>ASM-13</x:v>
      </x:c>
    </x:row>
    <x:row r="32">
      <x:c r="A32" s="191" t="str">
        <x:v>AI usage</x:v>
      </x:c>
      <x:c r="B32" s="191" t="str">
        <x:v>Natal interpretation input tokens</x:v>
      </x:c>
      <x:c r="C32" s="196" t="n">
        <x:v>5000</x:v>
      </x:c>
      <x:c r="D32" s="196" t="n">
        <x:v>5000</x:v>
      </x:c>
      <x:c r="E32" s="196" t="n">
        <x:v>5000</x:v>
      </x:c>
      <x:c r="F32" s="191" t="str">
        <x:v>tokens/chart</x:v>
      </x:c>
      <x:c r="G32" s="191" t="str">
        <x:v>Planning allowance</x:v>
      </x:c>
      <x:c r="H32" s="191" t="str">
        <x:v>ASM-14</x:v>
      </x:c>
    </x:row>
    <x:row r="33">
      <x:c r="A33" s="191" t="str">
        <x:v>AI usage</x:v>
      </x:c>
      <x:c r="B33" s="191" t="str">
        <x:v>Natal interpretation output tokens</x:v>
      </x:c>
      <x:c r="C33" s="196" t="n">
        <x:v>2000</x:v>
      </x:c>
      <x:c r="D33" s="196" t="n">
        <x:v>2000</x:v>
      </x:c>
      <x:c r="E33" s="196" t="n">
        <x:v>2000</x:v>
      </x:c>
      <x:c r="F33" s="191" t="str">
        <x:v>tokens/chart</x:v>
      </x:c>
      <x:c r="G33" s="191" t="str">
        <x:v>Planning allowance</x:v>
      </x:c>
      <x:c r="H33" s="191" t="str">
        <x:v>ASM-14</x:v>
      </x:c>
    </x:row>
    <x:row r="34">
      <x:c r="A34" s="191" t="str">
        <x:v>AI usage</x:v>
      </x:c>
      <x:c r="B34" s="191" t="str">
        <x:v>Free initial charts per new user</x:v>
      </x:c>
      <x:c r="C34" s="196" t="n">
        <x:v>1</x:v>
      </x:c>
      <x:c r="D34" s="196" t="n">
        <x:v>1</x:v>
      </x:c>
      <x:c r="E34" s="196" t="n">
        <x:v>1</x:v>
      </x:c>
      <x:c r="F34" s="191" t="str">
        <x:v>charts</x:v>
      </x:c>
      <x:c r="G34" s="191" t="str">
        <x:v>Entitlement design</x:v>
      </x:c>
      <x:c r="H34" s="191" t="str">
        <x:v>ASM-15</x:v>
      </x:c>
    </x:row>
    <x:row r="35">
      <x:c r="A35" s="191" t="str">
        <x:v>AI usage</x:v>
      </x:c>
      <x:c r="B35" s="191" t="str">
        <x:v>Personal initial charts per new user</x:v>
      </x:c>
      <x:c r="C35" s="196" t="n">
        <x:v>1.4</x:v>
      </x:c>
      <x:c r="D35" s="196" t="n">
        <x:v>1.4</x:v>
      </x:c>
      <x:c r="E35" s="196" t="n">
        <x:v>1.4</x:v>
      </x:c>
      <x:c r="F35" s="191" t="str">
        <x:v>charts</x:v>
      </x:c>
      <x:c r="G35" s="191" t="str">
        <x:v>Average utilisation below two-chart ceiling</x:v>
      </x:c>
      <x:c r="H35" s="191" t="str">
        <x:v>ASM-15</x:v>
      </x:c>
    </x:row>
    <x:row r="36">
      <x:c r="A36" s="191" t="str">
        <x:v>AI usage</x:v>
      </x:c>
      <x:c r="B36" s="191" t="str">
        <x:v>Premium initial charts per new user</x:v>
      </x:c>
      <x:c r="C36" s="196" t="n">
        <x:v>2</x:v>
      </x:c>
      <x:c r="D36" s="196" t="n">
        <x:v>2</x:v>
      </x:c>
      <x:c r="E36" s="196" t="n">
        <x:v>2</x:v>
      </x:c>
      <x:c r="F36" s="191" t="str">
        <x:v>charts</x:v>
      </x:c>
      <x:c r="G36" s="191" t="str">
        <x:v>Average utilisation below five-chart ceiling</x:v>
      </x:c>
      <x:c r="H36" s="191" t="str">
        <x:v>ASM-15</x:v>
      </x:c>
    </x:row>
    <x:row r="37">
      <x:c r="A37" s="191" t="str">
        <x:v>Payments</x:v>
      </x:c>
      <x:c r="B37" s="191" t="str">
        <x:v>Card processing rate</x:v>
      </x:c>
      <x:c r="C37" s="192" t="n">
        <x:v>0.029</x:v>
      </x:c>
      <x:c r="D37" s="192" t="n">
        <x:v>0.029</x:v>
      </x:c>
      <x:c r="E37" s="192" t="n">
        <x:v>0.029</x:v>
      </x:c>
      <x:c r="F37" s="191" t="str">
        <x:v>% revenue</x:v>
      </x:c>
      <x:c r="G37" s="191" t="str">
        <x:v>US domestic online card assumption</x:v>
      </x:c>
      <x:c r="H37" s="191" t="str">
        <x:v>STR-01</x:v>
      </x:c>
    </x:row>
    <x:row r="38">
      <x:c r="A38" s="191" t="str">
        <x:v>Payments</x:v>
      </x:c>
      <x:c r="B38" s="191" t="str">
        <x:v>Fixed card fee</x:v>
      </x:c>
      <x:c r="C38" s="193" t="n">
        <x:v>0.3</x:v>
      </x:c>
      <x:c r="D38" s="193" t="n">
        <x:v>0.3</x:v>
      </x:c>
      <x:c r="E38" s="193" t="n">
        <x:v>0.3</x:v>
      </x:c>
      <x:c r="F38" s="191" t="str">
        <x:v>USD/transaction</x:v>
      </x:c>
      <x:c r="G38" s="191" t="str">
        <x:v>US domestic online card assumption</x:v>
      </x:c>
      <x:c r="H38" s="191" t="str">
        <x:v>STR-01</x:v>
      </x:c>
    </x:row>
    <x:row r="39">
      <x:c r="A39" s="191" t="str">
        <x:v>Payments</x:v>
      </x:c>
      <x:c r="B39" s="191" t="str">
        <x:v>Stripe Billing fee</x:v>
      </x:c>
      <x:c r="C39" s="192" t="n">
        <x:v>0.007</x:v>
      </x:c>
      <x:c r="D39" s="192" t="n">
        <x:v>0.007</x:v>
      </x:c>
      <x:c r="E39" s="192" t="n">
        <x:v>0.007</x:v>
      </x:c>
      <x:c r="F39" s="191" t="str">
        <x:v>% subscription volume</x:v>
      </x:c>
      <x:c r="G39" s="191" t="str">
        <x:v>Pay-as-you-go Billing assumption</x:v>
      </x:c>
      <x:c r="H39" s="191" t="str">
        <x:v>STR-01</x:v>
      </x:c>
    </x:row>
    <x:row r="40">
      <x:c r="A40" s="197" t="str">
        <x:v>Model</x:v>
      </x:c>
      <x:c r="B40" s="197" t="str">
        <x:v>Forecast months</x:v>
      </x:c>
      <x:c r="C40" s="198" t="n">
        <x:v>18</x:v>
      </x:c>
      <x:c r="D40" s="198" t="n">
        <x:v>18</x:v>
      </x:c>
      <x:c r="E40" s="198" t="n">
        <x:v>18</x:v>
      </x:c>
      <x:c r="F40" s="197" t="str">
        <x:v>months</x:v>
      </x:c>
      <x:c r="G40" s="197" t="str">
        <x:v>August 2026 through January 2028</x:v>
      </x:c>
      <x:c r="H40" s="197" t="str">
        <x:v>USR-04</x:v>
      </x:c>
    </x:row>
  </x:sheetData>
  <x:mergeCells>
    <x:mergeCell ref="A1:H1"/>
    <x:mergeCell ref="A2:H2"/>
  </x:mergeCells>
  <x:pageMargins left="0.7" right="0.7" top="0.75" bottom="0.75" header="0.3" footer="0.3"/>
  <x:legacyDrawing xmlns:r="http://schemas.openxmlformats.org/officeDocument/2006/relationships" r:id="Rf138bafae80749ef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6" hidden="0" customWidth="1"/>
    <x:col min="12" max="12" width="16" hidden="0" customWidth="1"/>
    <x:col min="13" max="13" width="16" hidden="0" customWidth="1"/>
    <x:col min="14" max="14" width="16" hidden="0" customWidth="1"/>
    <x:col min="15" max="15" width="16" hidden="0" customWidth="1"/>
    <x:col min="16" max="16" width="16" hidden="0" customWidth="1"/>
    <x:col min="17" max="17" width="16" hidden="0" customWidth="1"/>
    <x:col min="18" max="18" width="16" hidden="0" customWidth="1"/>
    <x:col min="19" max="19" width="16" hidden="0" customWidth="1"/>
    <x:col min="20" max="20" width="16" hidden="0" customWidth="1"/>
    <x:col min="21" max="21" width="16" hidden="0" customWidth="1"/>
    <x:col min="22" max="22" width="16" hidden="0" customWidth="1"/>
    <x:col min="23" max="23" width="16" hidden="0" customWidth="1"/>
    <x:col min="24" max="24" width="16" hidden="0" customWidth="1"/>
    <x:col min="25" max="25" width="16" hidden="0" customWidth="1"/>
    <x:col min="26" max="26" width="16" hidden="0" customWidth="1"/>
    <x:col min="27" max="27" width="16" hidden="0" customWidth="1"/>
    <x:col min="28" max="28" width="16" hidden="0" customWidth="1"/>
  </x:cols>
  <x:sheetData>
    <x:row r="1" ht="34" customHeight="1">
      <x:c r="A1" s="183" t="str">
        <x:v>18-Month Base-Case Forecast</x:v>
      </x:c>
      <x:c r="B1" s="183"/>
      <x:c r="C1" s="183"/>
      <x:c r="D1" s="183"/>
      <x:c r="E1" s="183"/>
      <x:c r="F1" s="183"/>
      <x:c r="G1" s="183"/>
      <x:c r="H1" s="183"/>
      <x:c r="I1" s="183"/>
      <x:c r="J1" s="183"/>
      <x:c r="K1" s="183"/>
      <x:c r="L1" s="183"/>
      <x:c r="M1" s="183"/>
      <x:c r="N1" s="183"/>
      <x:c r="O1" s="183"/>
      <x:c r="P1" s="183"/>
      <x:c r="Q1" s="183"/>
      <x:c r="R1" s="183"/>
      <x:c r="S1" s="183"/>
      <x:c r="T1" s="183"/>
      <x:c r="U1" s="183"/>
      <x:c r="V1" s="183"/>
      <x:c r="W1" s="183"/>
      <x:c r="X1" s="183"/>
      <x:c r="Y1" s="183"/>
      <x:c r="Z1" s="183"/>
      <x:c r="AA1" s="183"/>
      <x:c r="AB1" s="183"/>
    </x:row>
    <x:row r="2" ht="28" customHeight="1">
      <x:c r="A2" s="184" t="str">
        <x:v>Starts with 500 active users. Advertising acquires users at the base-case CAC; organic additions and churn are applied to opening users. Revenue uses average monthly active users.</x:v>
      </x:c>
      <x:c r="B2" s="184"/>
      <x:c r="C2" s="184"/>
      <x:c r="D2" s="184"/>
      <x:c r="E2" s="184"/>
      <x:c r="F2" s="184"/>
      <x:c r="G2" s="184"/>
      <x:c r="H2" s="184"/>
      <x:c r="I2" s="184"/>
      <x:c r="J2" s="184"/>
      <x:c r="K2" s="184"/>
      <x:c r="L2" s="184"/>
      <x:c r="M2" s="184"/>
      <x:c r="N2" s="184"/>
      <x:c r="O2" s="184"/>
      <x:c r="P2" s="184"/>
      <x:c r="Q2" s="184"/>
      <x:c r="R2" s="184"/>
      <x:c r="S2" s="184"/>
      <x:c r="T2" s="184"/>
      <x:c r="U2" s="184"/>
      <x:c r="V2" s="184"/>
      <x:c r="W2" s="184"/>
      <x:c r="X2" s="184"/>
      <x:c r="Y2" s="184"/>
      <x:c r="Z2" s="184"/>
      <x:c r="AA2" s="184"/>
      <x:c r="AB2" s="184"/>
    </x:row>
    <x:row r="3">
      <x:c r="A3" s="185"/>
      <x:c r="B3" s="185"/>
      <x:c r="C3" s="185"/>
      <x:c r="D3" s="185"/>
      <x:c r="E3" s="185"/>
      <x:c r="F3" s="185"/>
      <x:c r="G3" s="185"/>
      <x:c r="H3" s="185"/>
      <x:c r="I3" s="185"/>
      <x:c r="J3" s="185"/>
      <x:c r="K3" s="185"/>
      <x:c r="L3" s="185"/>
      <x:c r="M3" s="185"/>
      <x:c r="N3" s="185"/>
      <x:c r="O3" s="185"/>
      <x:c r="P3" s="185"/>
      <x:c r="Q3" s="185"/>
      <x:c r="R3" s="185"/>
      <x:c r="S3" s="185"/>
      <x:c r="T3" s="185"/>
      <x:c r="U3" s="185"/>
      <x:c r="V3" s="185"/>
      <x:c r="W3" s="185"/>
      <x:c r="X3" s="185"/>
      <x:c r="Y3" s="185"/>
      <x:c r="Z3" s="185"/>
      <x:c r="AA3" s="185"/>
      <x:c r="AB3" s="185"/>
    </x:row>
    <x:row r="4">
      <x:c r="A4" s="186" t="str">
        <x:v>Month</x:v>
      </x:c>
      <x:c r="B4" s="187" t="str">
        <x:v>Opening users</x:v>
      </x:c>
      <x:c r="C4" s="187" t="str">
        <x:v>Paid adds</x:v>
      </x:c>
      <x:c r="D4" s="187" t="str">
        <x:v>Organic adds</x:v>
      </x:c>
      <x:c r="E4" s="187" t="str">
        <x:v>Churned</x:v>
      </x:c>
      <x:c r="F4" s="187" t="str">
        <x:v>Closing users</x:v>
      </x:c>
      <x:c r="G4" s="187" t="str">
        <x:v>Average active users</x:v>
      </x:c>
      <x:c r="H4" s="187" t="str">
        <x:v>Free</x:v>
      </x:c>
      <x:c r="I4" s="187" t="str">
        <x:v>Personal</x:v>
      </x:c>
      <x:c r="J4" s="187" t="str">
        <x:v>Premium</x:v>
      </x:c>
      <x:c r="K4" s="187" t="str">
        <x:v>Subscription revenue</x:v>
      </x:c>
      <x:c r="L4" s="187" t="str">
        <x:v>Pack revenue</x:v>
      </x:c>
      <x:c r="M4" s="187" t="str">
        <x:v>Report revenue</x:v>
      </x:c>
      <x:c r="N4" s="187" t="str">
        <x:v>Total revenue</x:v>
      </x:c>
      <x:c r="O4" s="187" t="str">
        <x:v>Paid reports</x:v>
      </x:c>
      <x:c r="P4" s="187" t="str">
        <x:v>Included reports</x:v>
      </x:c>
      <x:c r="Q4" s="187" t="str">
        <x:v>Report AI cost</x:v>
      </x:c>
      <x:c r="R4" s="187" t="str">
        <x:v>Natal interpretations</x:v>
      </x:c>
      <x:c r="S4" s="187" t="str">
        <x:v>Natal AI cost</x:v>
      </x:c>
      <x:c r="T4" s="187" t="str">
        <x:v>Total AI cost</x:v>
      </x:c>
      <x:c r="U4" s="187" t="str">
        <x:v>Payment fees</x:v>
      </x:c>
      <x:c r="V4" s="187" t="str">
        <x:v>Hosting</x:v>
      </x:c>
      <x:c r="W4" s="187" t="str">
        <x:v>Advertising</x:v>
      </x:c>
      <x:c r="X4" s="187" t="str">
        <x:v>Total cost</x:v>
      </x:c>
      <x:c r="Y4" s="187" t="str">
        <x:v>Operating contribution</x:v>
      </x:c>
      <x:c r="Z4" s="187" t="str">
        <x:v>Contribution margin</x:v>
      </x:c>
      <x:c r="AA4" s="187" t="str">
        <x:v>Cumulative contribution</x:v>
      </x:c>
      <x:c r="AB4" s="188" t="str">
        <x:v>Revenue / active user</x:v>
      </x:c>
    </x:row>
    <x:row r="5">
      <x:c r="A5" s="199" t="str">
        <x:v>Aug 2026</x:v>
      </x:c>
      <x:c r="B5" s="263" t="n">
        <x:f>'Assumptions'!D5</x:f>
        <x:v>500</x:v>
      </x:c>
      <x:c r="C5" s="263" t="n">
        <x:f>'Assumptions'!D12/'Assumptions'!D13</x:f>
        <x:v>12.5</x:v>
      </x:c>
      <x:c r="D5" s="263" t="n">
        <x:f>B5*'Assumptions'!D14</x:f>
        <x:v>5</x:v>
      </x:c>
      <x:c r="E5" s="263" t="n">
        <x:f>B5*'Assumptions'!D15</x:f>
        <x:v>15</x:v>
      </x:c>
      <x:c r="F5" s="263" t="n">
        <x:f>B5+C5+D5-E5</x:f>
        <x:v>502.5</x:v>
      </x:c>
      <x:c r="G5" s="263" t="n">
        <x:f>(B5+F5)/2</x:f>
        <x:v>501.25</x:v>
      </x:c>
      <x:c r="H5" s="263" t="n">
        <x:f>G5*'Assumptions'!D6</x:f>
        <x:v>401</x:v>
      </x:c>
      <x:c r="I5" s="263" t="n">
        <x:f>G5*'Assumptions'!D7</x:f>
        <x:v>80.2</x:v>
      </x:c>
      <x:c r="J5" s="263" t="n">
        <x:f>G5*'Assumptions'!D8</x:f>
        <x:v>20.05</x:v>
      </x:c>
      <x:c r="K5" s="264" t="n">
        <x:f>I5*'Assumptions'!D9+J5*'Assumptions'!D10</x:f>
        <x:v>1201.9975</x:v>
      </x:c>
      <x:c r="L5" s="264" t="n">
        <x:f>(H5*'Assumptions'!D17+I5*'Assumptions'!D18+J5*'Assumptions'!D19)*'Assumptions'!D16</x:f>
        <x:v>173.43249999999998</x:v>
      </x:c>
      <x:c r="M5" s="264" t="n">
        <x:f>H5*'Assumptions'!D23*'Assumptions'!D20+I5*'Assumptions'!D24*'Assumptions'!D20*(1-'Assumptions'!D21)+J5*'Assumptions'!D25*'Assumptions'!D20*(1-'Assumptions'!D22)</x:f>
        <x:v>168.30772000000002</x:v>
      </x:c>
      <x:c r="N5" s="264" t="n">
        <x:f>SUM(K5:M5)</x:f>
        <x:v>1543.7377199999999</x:v>
      </x:c>
      <x:c r="O5" s="263" t="n">
        <x:f>H5*'Assumptions'!D23+I5*'Assumptions'!D24+J5*'Assumptions'!D25</x:f>
        <x:v>11.629</x:v>
      </x:c>
      <x:c r="P5" s="263" t="n">
        <x:f>J5*'Assumptions'!D26</x:f>
        <x:v>6.683333333333334</x:v>
      </x:c>
      <x:c r="Q5" s="265" t="n">
        <x:f>(O5+P5)*(('Assumptions'!D29/1000000)*'Assumptions'!D27+('Assumptions'!D30/1000000)*'Assumptions'!D28)*'Assumptions'!D31</x:f>
        <x:v>0.8812810416666668</x:v>
      </x:c>
      <x:c r="R5" s="263" t="n">
        <x:f>(C5+D5)*('Assumptions'!D6*'Assumptions'!D34+'Assumptions'!D7*'Assumptions'!D35+'Assumptions'!D8*'Assumptions'!D36)</x:f>
        <x:v>19.32</x:v>
      </x:c>
      <x:c r="S5" s="264" t="n">
        <x:f>R5*(('Assumptions'!D32/1000000)*'Assumptions'!D27+('Assumptions'!D33/1000000)*'Assumptions'!D28)</x:f>
        <x:v>0.10143</x:v>
      </x:c>
      <x:c r="T5" s="264" t="n">
        <x:f>SUM(Q5,S5)</x:f>
        <x:v>0.9827110416666668</x:v>
      </x:c>
      <x:c r="U5" s="264" t="n">
        <x:f>K5*('Assumptions'!D37+'Assumptions'!D39)+(I5+J5)*'Assumptions'!D38+L5*'Assumptions'!D37+(H5*'Assumptions'!D17+I5*'Assumptions'!D18+J5*'Assumptions'!D19)*'Assumptions'!D38+M5*'Assumptions'!D37+O5*'Assumptions'!D38</x:f>
        <x:v>97.15202638000001</x:v>
      </x:c>
      <x:c r="V5" s="264" t="n">
        <x:f>'Assumptions'!D11</x:f>
        <x:v>250</x:v>
      </x:c>
      <x:c r="W5" s="264" t="n">
        <x:f>'Assumptions'!D12</x:f>
        <x:v>250</x:v>
      </x:c>
      <x:c r="X5" s="264" t="n">
        <x:f>SUM(T5:W5)</x:f>
        <x:v>598.1347374216666</x:v>
      </x:c>
      <x:c r="Y5" s="264" t="n">
        <x:f>N5-X5</x:f>
        <x:v>945.6029825783332</x:v>
      </x:c>
      <x:c r="Z5" s="266" t="n">
        <x:f>IF(N5=0,0,Y5/N5)</x:f>
        <x:v>0.6125412175446056</x:v>
      </x:c>
      <x:c r="AA5" s="264" t="n">
        <x:f>Y5</x:f>
        <x:v>945.6029825783332</x:v>
      </x:c>
      <x:c r="AB5" s="264" t="n">
        <x:f>IF(G5=0,0,N5/G5)</x:f>
        <x:v>3.079776</x:v>
      </x:c>
    </x:row>
    <x:row r="6">
      <x:c r="A6" s="204" t="str">
        <x:v>Sep 2026</x:v>
      </x:c>
      <x:c r="B6" s="267" t="n">
        <x:f>F5</x:f>
        <x:v>502.5</x:v>
      </x:c>
      <x:c r="C6" s="267" t="n">
        <x:f>'Assumptions'!D12/'Assumptions'!D13</x:f>
        <x:v>12.5</x:v>
      </x:c>
      <x:c r="D6" s="267" t="n">
        <x:f>B6*'Assumptions'!D14</x:f>
        <x:v>5.025</x:v>
      </x:c>
      <x:c r="E6" s="267" t="n">
        <x:f>B6*'Assumptions'!D15</x:f>
        <x:v>15.075</x:v>
      </x:c>
      <x:c r="F6" s="267" t="n">
        <x:f>B6+C6+D6-E6</x:f>
        <x:v>504.95</x:v>
      </x:c>
      <x:c r="G6" s="267" t="n">
        <x:f>(B6+F6)/2</x:f>
        <x:v>503.725</x:v>
      </x:c>
      <x:c r="H6" s="267" t="n">
        <x:f>G6*'Assumptions'!D6</x:f>
        <x:v>402.98</x:v>
      </x:c>
      <x:c r="I6" s="267" t="n">
        <x:f>G6*'Assumptions'!D7</x:f>
        <x:v>80.596</x:v>
      </x:c>
      <x:c r="J6" s="267" t="n">
        <x:f>G6*'Assumptions'!D8</x:f>
        <x:v>20.149</x:v>
      </x:c>
      <x:c r="K6" s="268" t="n">
        <x:f>I6*'Assumptions'!D9+J6*'Assumptions'!D10</x:f>
        <x:v>1207.93255</x:v>
      </x:c>
      <x:c r="L6" s="268" t="n">
        <x:f>(H6*'Assumptions'!D17+I6*'Assumptions'!D18+J6*'Assumptions'!D19)*'Assumptions'!D16</x:f>
        <x:v>174.28884999999997</x:v>
      </x:c>
      <x:c r="M6" s="268" t="n">
        <x:f>H6*'Assumptions'!D23*'Assumptions'!D20+I6*'Assumptions'!D24*'Assumptions'!D20*(1-'Assumptions'!D21)+J6*'Assumptions'!D25*'Assumptions'!D20*(1-'Assumptions'!D22)</x:f>
        <x:v>169.13876559999997</x:v>
      </x:c>
      <x:c r="N6" s="268" t="n">
        <x:f>SUM(K6:M6)</x:f>
        <x:v>1551.3601655999998</x:v>
      </x:c>
      <x:c r="O6" s="267" t="n">
        <x:f>H6*'Assumptions'!D23+I6*'Assumptions'!D24+J6*'Assumptions'!D25</x:f>
        <x:v>11.686419999999998</x:v>
      </x:c>
      <x:c r="P6" s="267" t="n">
        <x:f>J6*'Assumptions'!D26</x:f>
        <x:v>6.716333333333333</x:v>
      </x:c>
      <x:c r="Q6" s="269" t="n">
        <x:f>(O6+P6)*(('Assumptions'!D29/1000000)*'Assumptions'!D27+('Assumptions'!D30/1000000)*'Assumptions'!D28)*'Assumptions'!D31</x:f>
        <x:v>0.8856325041666665</x:v>
      </x:c>
      <x:c r="R6" s="267" t="n">
        <x:f>(C6+D6)*('Assumptions'!D6*'Assumptions'!D34+'Assumptions'!D7*'Assumptions'!D35+'Assumptions'!D8*'Assumptions'!D36)</x:f>
        <x:v>19.3476</x:v>
      </x:c>
      <x:c r="S6" s="268" t="n">
        <x:f>R6*(('Assumptions'!D32/1000000)*'Assumptions'!D27+('Assumptions'!D33/1000000)*'Assumptions'!D28)</x:f>
        <x:v>0.10157490000000001</x:v>
      </x:c>
      <x:c r="T6" s="268" t="n">
        <x:f>SUM(Q6,S6)</x:f>
        <x:v>0.9872074041666665</x:v>
      </x:c>
      <x:c r="U6" s="268" t="n">
        <x:f>K6*('Assumptions'!D37+'Assumptions'!D39)+(I6+J6)*'Assumptions'!D38+L6*'Assumptions'!D37+(H6*'Assumptions'!D17+I6*'Assumptions'!D18+J6*'Assumptions'!D19)*'Assumptions'!D38+M6*'Assumptions'!D37+O6*'Assumptions'!D38</x:f>
        <x:v>97.6317296524</x:v>
      </x:c>
      <x:c r="V6" s="268" t="n">
        <x:f>'Assumptions'!D11</x:f>
        <x:v>250</x:v>
      </x:c>
      <x:c r="W6" s="268" t="n">
        <x:f>'Assumptions'!D12</x:f>
        <x:v>250</x:v>
      </x:c>
      <x:c r="X6" s="268" t="n">
        <x:f>SUM(T6:W6)</x:f>
        <x:v>598.6189370565667</x:v>
      </x:c>
      <x:c r="Y6" s="268" t="n">
        <x:f>N6-X6</x:f>
        <x:v>952.7412285434332</x:v>
      </x:c>
      <x:c r="Z6" s="270" t="n">
        <x:f>IF(N6=0,0,Y6/N6)</x:f>
        <x:v>0.614132842694819</x:v>
      </x:c>
      <x:c r="AA6" s="268" t="n">
        <x:f>AA5+Y6</x:f>
        <x:v>1898.3442111217664</x:v>
      </x:c>
      <x:c r="AB6" s="268" t="n">
        <x:f>IF(G6=0,0,N6/G6)</x:f>
        <x:v>3.0797759999999994</x:v>
      </x:c>
    </x:row>
    <x:row r="7">
      <x:c r="A7" s="204" t="str">
        <x:v>Oct 2026</x:v>
      </x:c>
      <x:c r="B7" s="267" t="n">
        <x:f>F6</x:f>
        <x:v>504.95</x:v>
      </x:c>
      <x:c r="C7" s="267" t="n">
        <x:f>'Assumptions'!D12/'Assumptions'!D13</x:f>
        <x:v>12.5</x:v>
      </x:c>
      <x:c r="D7" s="267" t="n">
        <x:f>B7*'Assumptions'!D14</x:f>
        <x:v>5.0495</x:v>
      </x:c>
      <x:c r="E7" s="267" t="n">
        <x:f>B7*'Assumptions'!D15</x:f>
        <x:v>15.148499999999999</x:v>
      </x:c>
      <x:c r="F7" s="267" t="n">
        <x:f>B7+C7+D7-E7</x:f>
        <x:v>507.351</x:v>
      </x:c>
      <x:c r="G7" s="267" t="n">
        <x:f>(B7+F7)/2</x:f>
        <x:v>506.15049999999997</x:v>
      </x:c>
      <x:c r="H7" s="267" t="n">
        <x:f>G7*'Assumptions'!D6</x:f>
        <x:v>404.9204</x:v>
      </x:c>
      <x:c r="I7" s="267" t="n">
        <x:f>G7*'Assumptions'!D7</x:f>
        <x:v>80.98407999999999</x:v>
      </x:c>
      <x:c r="J7" s="267" t="n">
        <x:f>G7*'Assumptions'!D8</x:f>
        <x:v>20.246019999999998</x:v>
      </x:c>
      <x:c r="K7" s="268" t="n">
        <x:f>I7*'Assumptions'!D9+J7*'Assumptions'!D10</x:f>
        <x:v>1213.748899</x:v>
      </x:c>
      <x:c r="L7" s="268" t="n">
        <x:f>(H7*'Assumptions'!D17+I7*'Assumptions'!D18+J7*'Assumptions'!D19)*'Assumptions'!D16</x:f>
        <x:v>175.12807299999994</x:v>
      </x:c>
      <x:c r="M7" s="268" t="n">
        <x:f>H7*'Assumptions'!D23*'Assumptions'!D20+I7*'Assumptions'!D24*'Assumptions'!D20*(1-'Assumptions'!D21)+J7*'Assumptions'!D25*'Assumptions'!D20*(1-'Assumptions'!D22)</x:f>
        <x:v>169.953190288</x:v>
      </x:c>
      <x:c r="N7" s="268" t="n">
        <x:f>SUM(K7:M7)</x:f>
        <x:v>1558.8301622879999</x:v>
      </x:c>
      <x:c r="O7" s="267" t="n">
        <x:f>H7*'Assumptions'!D23+I7*'Assumptions'!D24+J7*'Assumptions'!D25</x:f>
        <x:v>11.742691599999999</x:v>
      </x:c>
      <x:c r="P7" s="267" t="n">
        <x:f>J7*'Assumptions'!D26</x:f>
        <x:v>6.748673333333333</x:v>
      </x:c>
      <x:c r="Q7" s="269" t="n">
        <x:f>(O7+P7)*(('Assumptions'!D29/1000000)*'Assumptions'!D27+('Assumptions'!D30/1000000)*'Assumptions'!D28)*'Assumptions'!D31</x:f>
        <x:v>0.8898969374166665</x:v>
      </x:c>
      <x:c r="R7" s="267" t="n">
        <x:f>(C7+D7)*('Assumptions'!D6*'Assumptions'!D34+'Assumptions'!D7*'Assumptions'!D35+'Assumptions'!D8*'Assumptions'!D36)</x:f>
        <x:v>19.374648000000004</x:v>
      </x:c>
      <x:c r="S7" s="268" t="n">
        <x:f>R7*(('Assumptions'!D32/1000000)*'Assumptions'!D27+('Assumptions'!D33/1000000)*'Assumptions'!D28)</x:f>
        <x:v>0.10171690200000003</x:v>
      </x:c>
      <x:c r="T7" s="268" t="n">
        <x:f>SUM(Q7,S7)</x:f>
        <x:v>0.9916138394166666</x:v>
      </x:c>
      <x:c r="U7" s="268" t="n">
        <x:f>K7*('Assumptions'!D37+'Assumptions'!D39)+(I7+J7)*'Assumptions'!D38+L7*'Assumptions'!D37+(H7*'Assumptions'!D17+I7*'Assumptions'!D18+J7*'Assumptions'!D19)*'Assumptions'!D38+M7*'Assumptions'!D37+O7*'Assumptions'!D38</x:f>
        <x:v>98.10183885935201</x:v>
      </x:c>
      <x:c r="V7" s="268" t="n">
        <x:f>'Assumptions'!D11</x:f>
        <x:v>250</x:v>
      </x:c>
      <x:c r="W7" s="268" t="n">
        <x:f>'Assumptions'!D12</x:f>
        <x:v>250</x:v>
      </x:c>
      <x:c r="X7" s="268" t="n">
        <x:f>SUM(T7:W7)</x:f>
        <x:v>599.0934526987687</x:v>
      </x:c>
      <x:c r="Y7" s="268" t="n">
        <x:f>N7-X7</x:f>
        <x:v>959.7367095892312</x:v>
      </x:c>
      <x:c r="Z7" s="270" t="n">
        <x:f>IF(N7=0,0,Y7/N7)</x:f>
        <x:v>0.6156775335810548</x:v>
      </x:c>
      <x:c r="AA7" s="268" t="n">
        <x:f>AA6+Y7</x:f>
        <x:v>2858.080920710998</x:v>
      </x:c>
      <x:c r="AB7" s="268" t="n">
        <x:f>IF(G7=0,0,N7/G7)</x:f>
        <x:v>3.079776</x:v>
      </x:c>
    </x:row>
    <x:row r="8">
      <x:c r="A8" s="204" t="str">
        <x:v>Nov 2026</x:v>
      </x:c>
      <x:c r="B8" s="267" t="n">
        <x:f>F7</x:f>
        <x:v>507.351</x:v>
      </x:c>
      <x:c r="C8" s="267" t="n">
        <x:f>'Assumptions'!D12/'Assumptions'!D13</x:f>
        <x:v>12.5</x:v>
      </x:c>
      <x:c r="D8" s="267" t="n">
        <x:f>B8*'Assumptions'!D14</x:f>
        <x:v>5.07351</x:v>
      </x:c>
      <x:c r="E8" s="267" t="n">
        <x:f>B8*'Assumptions'!D15</x:f>
        <x:v>15.22053</x:v>
      </x:c>
      <x:c r="F8" s="267" t="n">
        <x:f>B8+C8+D8-E8</x:f>
        <x:v>509.70398000000006</x:v>
      </x:c>
      <x:c r="G8" s="267" t="n">
        <x:f>(B8+F8)/2</x:f>
        <x:v>508.52749000000006</x:v>
      </x:c>
      <x:c r="H8" s="267" t="n">
        <x:f>G8*'Assumptions'!D6</x:f>
        <x:v>406.8219920000001</x:v>
      </x:c>
      <x:c r="I8" s="267" t="n">
        <x:f>G8*'Assumptions'!D7</x:f>
        <x:v>81.36439840000001</x:v>
      </x:c>
      <x:c r="J8" s="267" t="n">
        <x:f>G8*'Assumptions'!D8</x:f>
        <x:v>20.341099600000003</x:v>
      </x:c>
      <x:c r="K8" s="268" t="n">
        <x:f>I8*'Assumptions'!D9+J8*'Assumptions'!D10</x:f>
        <x:v>1219.4489210200002</x:v>
      </x:c>
      <x:c r="L8" s="268" t="n">
        <x:f>(H8*'Assumptions'!D17+I8*'Assumptions'!D18+J8*'Assumptions'!D19)*'Assumptions'!D16</x:f>
        <x:v>175.95051154000004</x:v>
      </x:c>
      <x:c r="M8" s="268" t="n">
        <x:f>H8*'Assumptions'!D23*'Assumptions'!D20+I8*'Assumptions'!D24*'Assumptions'!D20*(1-'Assumptions'!D21)+J8*'Assumptions'!D25*'Assumptions'!D20*(1-'Assumptions'!D22)</x:f>
        <x:v>170.75132648224002</x:v>
      </x:c>
      <x:c r="N8" s="268" t="n">
        <x:f>SUM(K8:M8)</x:f>
        <x:v>1566.1507590422402</x:v>
      </x:c>
      <x:c r="O8" s="267" t="n">
        <x:f>H8*'Assumptions'!D23+I8*'Assumptions'!D24+J8*'Assumptions'!D25</x:f>
        <x:v>11.797837768</x:v>
      </x:c>
      <x:c r="P8" s="267" t="n">
        <x:f>J8*'Assumptions'!D26</x:f>
        <x:v>6.780366533333334</x:v>
      </x:c>
      <x:c r="Q8" s="269" t="n">
        <x:f>(O8+P8)*(('Assumptions'!D29/1000000)*'Assumptions'!D27+('Assumptions'!D30/1000000)*'Assumptions'!D28)*'Assumptions'!D31</x:f>
        <x:v>0.8940760820016669</x:v>
      </x:c>
      <x:c r="R8" s="267" t="n">
        <x:f>(C8+D8)*('Assumptions'!D6*'Assumptions'!D34+'Assumptions'!D7*'Assumptions'!D35+'Assumptions'!D8*'Assumptions'!D36)</x:f>
        <x:v>19.40115504</x:v>
      </x:c>
      <x:c r="S8" s="268" t="n">
        <x:f>R8*(('Assumptions'!D32/1000000)*'Assumptions'!D27+('Assumptions'!D33/1000000)*'Assumptions'!D28)</x:f>
        <x:v>0.10185606396</x:v>
      </x:c>
      <x:c r="T8" s="268" t="n">
        <x:f>SUM(Q8,S8)</x:f>
        <x:v>0.9959321459616669</x:v>
      </x:c>
      <x:c r="U8" s="268" t="n">
        <x:f>K8*('Assumptions'!D37+'Assumptions'!D39)+(I8+J8)*'Assumptions'!D38+L8*'Assumptions'!D37+(H8*'Assumptions'!D17+I8*'Assumptions'!D18+J8*'Assumptions'!D19)*'Assumptions'!D38+M8*'Assumptions'!D37+O8*'Assumptions'!D38</x:f>
        <x:v>98.56254588216497</x:v>
      </x:c>
      <x:c r="V8" s="268" t="n">
        <x:f>'Assumptions'!D11</x:f>
        <x:v>250</x:v>
      </x:c>
      <x:c r="W8" s="268" t="n">
        <x:f>'Assumptions'!D12</x:f>
        <x:v>250</x:v>
      </x:c>
      <x:c r="X8" s="268" t="n">
        <x:f>SUM(T8:W8)</x:f>
        <x:v>599.5584780281266</x:v>
      </x:c>
      <x:c r="Y8" s="268" t="n">
        <x:f>N8-X8</x:f>
        <x:v>966.5922810141136</x:v>
      </x:c>
      <x:c r="Z8" s="270" t="n">
        <x:f>IF(N8=0,0,Y8/N8)</x:f>
        <x:v>0.6171770344798868</x:v>
      </x:c>
      <x:c r="AA8" s="268" t="n">
        <x:f>AA7+Y8</x:f>
        <x:v>3824.6732017251115</x:v>
      </x:c>
      <x:c r="AB8" s="268" t="n">
        <x:f>IF(G8=0,0,N8/G8)</x:f>
        <x:v>3.0797760000000003</x:v>
      </x:c>
    </x:row>
    <x:row r="9">
      <x:c r="A9" s="204" t="str">
        <x:v>Dec 2026</x:v>
      </x:c>
      <x:c r="B9" s="267" t="n">
        <x:f>F8</x:f>
        <x:v>509.70398000000006</x:v>
      </x:c>
      <x:c r="C9" s="267" t="n">
        <x:f>'Assumptions'!D12/'Assumptions'!D13</x:f>
        <x:v>12.5</x:v>
      </x:c>
      <x:c r="D9" s="267" t="n">
        <x:f>B9*'Assumptions'!D14</x:f>
        <x:v>5.097039800000001</x:v>
      </x:c>
      <x:c r="E9" s="267" t="n">
        <x:f>B9*'Assumptions'!D15</x:f>
        <x:v>15.291119400000001</x:v>
      </x:c>
      <x:c r="F9" s="267" t="n">
        <x:f>B9+C9+D9-E9</x:f>
        <x:v>512.0099004</x:v>
      </x:c>
      <x:c r="G9" s="267" t="n">
        <x:f>(B9+F9)/2</x:f>
        <x:v>510.85694020000005</x:v>
      </x:c>
      <x:c r="H9" s="267" t="n">
        <x:f>G9*'Assumptions'!D6</x:f>
        <x:v>408.68555216000004</x:v>
      </x:c>
      <x:c r="I9" s="267" t="n">
        <x:f>G9*'Assumptions'!D7</x:f>
        <x:v>81.73711043200001</x:v>
      </x:c>
      <x:c r="J9" s="267" t="n">
        <x:f>G9*'Assumptions'!D8</x:f>
        <x:v>20.434277608000002</x:v>
      </x:c>
      <x:c r="K9" s="268" t="n">
        <x:f>I9*'Assumptions'!D9+J9*'Assumptions'!D10</x:f>
        <x:v>1225.0349425996</x:v>
      </x:c>
      <x:c r="L9" s="268" t="n">
        <x:f>(H9*'Assumptions'!D17+I9*'Assumptions'!D18+J9*'Assumptions'!D19)*'Assumptions'!D16</x:f>
        <x:v>176.75650130920002</x:v>
      </x:c>
      <x:c r="M9" s="268" t="n">
        <x:f>H9*'Assumptions'!D23*'Assumptions'!D20+I9*'Assumptions'!D24*'Assumptions'!D20*(1-'Assumptions'!D21)+J9*'Assumptions'!D25*'Assumptions'!D20*(1-'Assumptions'!D22)</x:f>
        <x:v>171.5334999525952</x:v>
      </x:c>
      <x:c r="N9" s="268" t="n">
        <x:f>SUM(K9:M9)</x:f>
        <x:v>1573.3249438613952</x:v>
      </x:c>
      <x:c r="O9" s="267" t="n">
        <x:f>H9*'Assumptions'!D23+I9*'Assumptions'!D24+J9*'Assumptions'!D25</x:f>
        <x:v>11.851881012640002</x:v>
      </x:c>
      <x:c r="P9" s="267" t="n">
        <x:f>J9*'Assumptions'!D26</x:f>
        <x:v>6.811425869333334</x:v>
      </x:c>
      <x:c r="Q9" s="269" t="n">
        <x:f>(O9+P9)*(('Assumptions'!D29/1000000)*'Assumptions'!D27+('Assumptions'!D30/1000000)*'Assumptions'!D28)*'Assumptions'!D31</x:f>
        <x:v>0.8981716436949667</x:v>
      </x:c>
      <x:c r="R9" s="267" t="n">
        <x:f>(C9+D9)*('Assumptions'!D6*'Assumptions'!D34+'Assumptions'!D7*'Assumptions'!D35+'Assumptions'!D8*'Assumptions'!D36)</x:f>
        <x:v>19.427131939200002</x:v>
      </x:c>
      <x:c r="S9" s="268" t="n">
        <x:f>R9*(('Assumptions'!D32/1000000)*'Assumptions'!D27+('Assumptions'!D33/1000000)*'Assumptions'!D28)</x:f>
        <x:v>0.10199244268080002</x:v>
      </x:c>
      <x:c r="T9" s="268" t="n">
        <x:f>SUM(Q9,S9)</x:f>
        <x:v>1.0001640863757668</x:v>
      </x:c>
      <x:c r="U9" s="268" t="n">
        <x:f>K9*('Assumptions'!D37+'Assumptions'!D39)+(I9+J9)*'Assumptions'!D38+L9*'Assumptions'!D37+(H9*'Assumptions'!D17+I9*'Assumptions'!D18+J9*'Assumptions'!D19)*'Assumptions'!D38+M9*'Assumptions'!D37+O9*'Assumptions'!D38</x:f>
        <x:v>99.01403876452167</x:v>
      </x:c>
      <x:c r="V9" s="268" t="n">
        <x:f>'Assumptions'!D11</x:f>
        <x:v>250</x:v>
      </x:c>
      <x:c r="W9" s="268" t="n">
        <x:f>'Assumptions'!D12</x:f>
        <x:v>250</x:v>
      </x:c>
      <x:c r="X9" s="268" t="n">
        <x:f>SUM(T9:W9)</x:f>
        <x:v>600.0142028508974</x:v>
      </x:c>
      <x:c r="Y9" s="268" t="n">
        <x:f>N9-X9</x:f>
        <x:v>973.3107410104978</x:v>
      </x:c>
      <x:c r="Z9" s="270" t="n">
        <x:f>IF(N9=0,0,Y9/N9)</x:f>
        <x:v>0.6186330070009005</x:v>
      </x:c>
      <x:c r="AA9" s="268" t="n">
        <x:f>AA8+Y9</x:f>
        <x:v>4797.983942735609</x:v>
      </x:c>
      <x:c r="AB9" s="268" t="n">
        <x:f>IF(G9=0,0,N9/G9)</x:f>
        <x:v>3.079776</x:v>
      </x:c>
    </x:row>
    <x:row r="10">
      <x:c r="A10" s="204" t="str">
        <x:v>Jan 2027</x:v>
      </x:c>
      <x:c r="B10" s="267" t="n">
        <x:f>F9</x:f>
        <x:v>512.0099004</x:v>
      </x:c>
      <x:c r="C10" s="267" t="n">
        <x:f>'Assumptions'!D12/'Assumptions'!D13</x:f>
        <x:v>12.5</x:v>
      </x:c>
      <x:c r="D10" s="267" t="n">
        <x:f>B10*'Assumptions'!D14</x:f>
        <x:v>5.120099004</x:v>
      </x:c>
      <x:c r="E10" s="267" t="n">
        <x:f>B10*'Assumptions'!D15</x:f>
        <x:v>15.360297011999998</x:v>
      </x:c>
      <x:c r="F10" s="267" t="n">
        <x:f>B10+C10+D10-E10</x:f>
        <x:v>514.269702392</x:v>
      </x:c>
      <x:c r="G10" s="267" t="n">
        <x:f>(B10+F10)/2</x:f>
        <x:v>513.1398013959999</x:v>
      </x:c>
      <x:c r="H10" s="267" t="n">
        <x:f>G10*'Assumptions'!D6</x:f>
        <x:v>410.5118411168</x:v>
      </x:c>
      <x:c r="I10" s="267" t="n">
        <x:f>G10*'Assumptions'!D7</x:f>
        <x:v>82.10236822335999</x:v>
      </x:c>
      <x:c r="J10" s="267" t="n">
        <x:f>G10*'Assumptions'!D8</x:f>
        <x:v>20.525592055839997</x:v>
      </x:c>
      <x:c r="K10" s="268" t="n">
        <x:f>I10*'Assumptions'!D9+J10*'Assumptions'!D10</x:f>
        <x:v>1230.5092437476078</x:v>
      </x:c>
      <x:c r="L10" s="268" t="n">
        <x:f>(H10*'Assumptions'!D17+I10*'Assumptions'!D18+J10*'Assumptions'!D19)*'Assumptions'!D16</x:f>
        <x:v>177.546371283016</x:v>
      </x:c>
      <x:c r="M10" s="268" t="n">
        <x:f>H10*'Assumptions'!D23*'Assumptions'!D20+I10*'Assumptions'!D24*'Assumptions'!D20*(1-'Assumptions'!D21)+J10*'Assumptions'!D25*'Assumptions'!D20*(1-'Assumptions'!D22)</x:f>
        <x:v>172.3000299535433</x:v>
      </x:c>
      <x:c r="N10" s="268" t="n">
        <x:f>SUM(K10:M10)</x:f>
        <x:v>1580.3556449841672</x:v>
      </x:c>
      <x:c r="O10" s="267" t="n">
        <x:f>H10*'Assumptions'!D23+I10*'Assumptions'!D24+J10*'Assumptions'!D25</x:f>
        <x:v>11.9048433923872</x:v>
      </x:c>
      <x:c r="P10" s="267" t="n">
        <x:f>J10*'Assumptions'!D26</x:f>
        <x:v>6.841864018613332</x:v>
      </x:c>
      <x:c r="Q10" s="269" t="n">
        <x:f>(O10+P10)*(('Assumptions'!D29/1000000)*'Assumptions'!D27+('Assumptions'!D30/1000000)*'Assumptions'!D28)*'Assumptions'!D31</x:f>
        <x:v>0.9021852941544006</x:v>
      </x:c>
      <x:c r="R10" s="267" t="n">
        <x:f>(C10+D10)*('Assumptions'!D6*'Assumptions'!D34+'Assumptions'!D7*'Assumptions'!D35+'Assumptions'!D8*'Assumptions'!D36)</x:f>
        <x:v>19.452589300416</x:v>
      </x:c>
      <x:c r="S10" s="268" t="n">
        <x:f>R10*(('Assumptions'!D32/1000000)*'Assumptions'!D27+('Assumptions'!D33/1000000)*'Assumptions'!D28)</x:f>
        <x:v>0.10212609382718402</x:v>
      </x:c>
      <x:c r="T10" s="268" t="n">
        <x:f>SUM(Q10,S10)</x:f>
        <x:v>1.0043113879815846</x:v>
      </x:c>
      <x:c r="U10" s="268" t="n">
        <x:f>K10*('Assumptions'!D37+'Assumptions'!D39)+(I10+J10)*'Assumptions'!D38+L10*'Assumptions'!D37+(H10*'Assumptions'!D17+I10*'Assumptions'!D18+J10*'Assumptions'!D19)*'Assumptions'!D38+M10*'Assumptions'!D37+O10*'Assumptions'!D38</x:f>
        <x:v>99.45650178923123</x:v>
      </x:c>
      <x:c r="V10" s="268" t="n">
        <x:f>'Assumptions'!D11</x:f>
        <x:v>250</x:v>
      </x:c>
      <x:c r="W10" s="268" t="n">
        <x:f>'Assumptions'!D12</x:f>
        <x:v>250</x:v>
      </x:c>
      <x:c r="X10" s="268" t="n">
        <x:f>SUM(T10:W10)</x:f>
        <x:v>600.4608131772128</x:v>
      </x:c>
      <x:c r="Y10" s="268" t="n">
        <x:f>N10-X10</x:f>
        <x:v>979.8948318069544</x:v>
      </x:c>
      <x:c r="Z10" s="270" t="n">
        <x:f>IF(N10=0,0,Y10/N10)</x:f>
        <x:v>0.6200470349297683</x:v>
      </x:c>
      <x:c r="AA10" s="268" t="n">
        <x:f>AA9+Y10</x:f>
        <x:v>5777.878774542563</x:v>
      </x:c>
      <x:c r="AB10" s="268" t="n">
        <x:f>IF(G10=0,0,N10/G10)</x:f>
        <x:v>3.0797760000000003</x:v>
      </x:c>
    </x:row>
    <x:row r="11">
      <x:c r="A11" s="204" t="str">
        <x:v>Feb 2027</x:v>
      </x:c>
      <x:c r="B11" s="267" t="n">
        <x:f>F10</x:f>
        <x:v>514.269702392</x:v>
      </x:c>
      <x:c r="C11" s="267" t="n">
        <x:f>'Assumptions'!D12/'Assumptions'!D13</x:f>
        <x:v>12.5</x:v>
      </x:c>
      <x:c r="D11" s="267" t="n">
        <x:f>B11*'Assumptions'!D14</x:f>
        <x:v>5.14269702392</x:v>
      </x:c>
      <x:c r="E11" s="267" t="n">
        <x:f>B11*'Assumptions'!D15</x:f>
        <x:v>15.428091071759999</x:v>
      </x:c>
      <x:c r="F11" s="267" t="n">
        <x:f>B11+C11+D11-E11</x:f>
        <x:v>516.48430834416</x:v>
      </x:c>
      <x:c r="G11" s="267" t="n">
        <x:f>(B11+F11)/2</x:f>
        <x:v>515.3770053680801</x:v>
      </x:c>
      <x:c r="H11" s="267" t="n">
        <x:f>G11*'Assumptions'!D6</x:f>
        <x:v>412.3016042944641</x:v>
      </x:c>
      <x:c r="I11" s="267" t="n">
        <x:f>G11*'Assumptions'!D7</x:f>
        <x:v>82.46032085889281</x:v>
      </x:c>
      <x:c r="J11" s="267" t="n">
        <x:f>G11*'Assumptions'!D8</x:f>
        <x:v>20.615080214723204</x:v>
      </x:c>
      <x:c r="K11" s="268" t="n">
        <x:f>I11*'Assumptions'!D9+J11*'Assumptions'!D10</x:f>
        <x:v>1235.874058872656</x:v>
      </x:c>
      <x:c r="L11" s="268" t="n">
        <x:f>(H11*'Assumptions'!D17+I11*'Assumptions'!D18+J11*'Assumptions'!D19)*'Assumptions'!D16</x:f>
        <x:v>178.3204438573557</x:v>
      </x:c>
      <x:c r="M11" s="268" t="n">
        <x:f>H11*'Assumptions'!D23*'Assumptions'!D20+I11*'Assumptions'!D24*'Assumptions'!D20*(1-'Assumptions'!D21)+J11*'Assumptions'!D25*'Assumptions'!D20*(1-'Assumptions'!D22)</x:f>
        <x:v>173.05122935447247</x:v>
      </x:c>
      <x:c r="N11" s="268" t="n">
        <x:f>SUM(K11:M11)</x:f>
        <x:v>1587.2457320844842</x:v>
      </x:c>
      <x:c r="O11" s="267" t="n">
        <x:f>H11*'Assumptions'!D23+I11*'Assumptions'!D24+J11*'Assumptions'!D25</x:f>
        <x:v>11.956746524539458</x:v>
      </x:c>
      <x:c r="P11" s="267" t="n">
        <x:f>J11*'Assumptions'!D26</x:f>
        <x:v>6.8716934049077345</x:v>
      </x:c>
      <x:c r="Q11" s="269" t="n">
        <x:f>(O11+P11)*(('Assumptions'!D29/1000000)*'Assumptions'!D27+('Assumptions'!D30/1000000)*'Assumptions'!D28)*'Assumptions'!D31</x:f>
        <x:v>0.9061186716046461</x:v>
      </x:c>
      <x:c r="R11" s="267" t="n">
        <x:f>(C11+D11)*('Assumptions'!D6*'Assumptions'!D34+'Assumptions'!D7*'Assumptions'!D35+'Assumptions'!D8*'Assumptions'!D36)</x:f>
        <x:v>19.477537514407683</x:v>
      </x:c>
      <x:c r="S11" s="268" t="n">
        <x:f>R11*(('Assumptions'!D32/1000000)*'Assumptions'!D27+('Assumptions'!D33/1000000)*'Assumptions'!D28)</x:f>
        <x:v>0.10225707195064034</x:v>
      </x:c>
      <x:c r="T11" s="268" t="n">
        <x:f>SUM(Q11,S11)</x:f>
        <x:v>1.0083757435552865</x:v>
      </x:c>
      <x:c r="U11" s="268" t="n">
        <x:f>K11*('Assumptions'!D37+'Assumptions'!D39)+(I11+J11)*'Assumptions'!D38+L11*'Assumptions'!D37+(H11*'Assumptions'!D17+I11*'Assumptions'!D18+J11*'Assumptions'!D19)*'Assumptions'!D38+M11*'Assumptions'!D37+O11*'Assumptions'!D38</x:f>
        <x:v>99.89011555344662</x:v>
      </x:c>
      <x:c r="V11" s="268" t="n">
        <x:f>'Assumptions'!D11</x:f>
        <x:v>250</x:v>
      </x:c>
      <x:c r="W11" s="268" t="n">
        <x:f>'Assumptions'!D12</x:f>
        <x:v>250</x:v>
      </x:c>
      <x:c r="X11" s="268" t="n">
        <x:f>SUM(T11:W11)</x:f>
        <x:v>600.8984912970019</x:v>
      </x:c>
      <x:c r="Y11" s="268" t="n">
        <x:f>N11-X11</x:f>
        <x:v>986.3472407874823</x:v>
      </x:c>
      <x:c r="Z11" s="270" t="n">
        <x:f>IF(N11=0,0,Y11/N11)</x:f>
        <x:v>0.621420628734116</x:v>
      </x:c>
      <x:c r="AA11" s="268" t="n">
        <x:f>AA10+Y11</x:f>
        <x:v>6764.226015330046</x:v>
      </x:c>
      <x:c r="AB11" s="268" t="n">
        <x:f>IF(G11=0,0,N11/G11)</x:f>
        <x:v>3.0797760000000003</x:v>
      </x:c>
    </x:row>
    <x:row r="12">
      <x:c r="A12" s="204" t="str">
        <x:v>Mar 2027</x:v>
      </x:c>
      <x:c r="B12" s="267" t="n">
        <x:f>F11</x:f>
        <x:v>516.48430834416</x:v>
      </x:c>
      <x:c r="C12" s="267" t="n">
        <x:f>'Assumptions'!D12/'Assumptions'!D13</x:f>
        <x:v>12.5</x:v>
      </x:c>
      <x:c r="D12" s="267" t="n">
        <x:f>B12*'Assumptions'!D14</x:f>
        <x:v>5.164843083441601</x:v>
      </x:c>
      <x:c r="E12" s="267" t="n">
        <x:f>B12*'Assumptions'!D15</x:f>
        <x:v>15.494529250324799</x:v>
      </x:c>
      <x:c r="F12" s="267" t="n">
        <x:f>B12+C12+D12-E12</x:f>
        <x:v>518.6546221772768</x:v>
      </x:c>
      <x:c r="G12" s="267" t="n">
        <x:f>(B12+F12)/2</x:f>
        <x:v>517.5694652607184</x:v>
      </x:c>
      <x:c r="H12" s="267" t="n">
        <x:f>G12*'Assumptions'!D6</x:f>
        <x:v>414.05557220857474</x:v>
      </x:c>
      <x:c r="I12" s="267" t="n">
        <x:f>G12*'Assumptions'!D7</x:f>
        <x:v>82.81111444171495</x:v>
      </x:c>
      <x:c r="J12" s="267" t="n">
        <x:f>G12*'Assumptions'!D8</x:f>
        <x:v>20.702778610428737</x:v>
      </x:c>
      <x:c r="K12" s="268" t="n">
        <x:f>I12*'Assumptions'!D9+J12*'Assumptions'!D10</x:f>
        <x:v>1241.1315776952029</x:v>
      </x:c>
      <x:c r="L12" s="268" t="n">
        <x:f>(H12*'Assumptions'!D17+I12*'Assumptions'!D18+J12*'Assumptions'!D19)*'Assumptions'!D16</x:f>
        <x:v>179.07903498020858</x:v>
      </x:c>
      <x:c r="M12" s="268" t="n">
        <x:f>H12*'Assumptions'!D23*'Assumptions'!D20+I12*'Assumptions'!D24*'Assumptions'!D20*(1-'Assumptions'!D21)+J12*'Assumptions'!D25*'Assumptions'!D20*(1-'Assumptions'!D22)</x:f>
        <x:v>173.787404767383</x:v>
      </x:c>
      <x:c r="N12" s="268" t="n">
        <x:f>SUM(K12:M12)</x:f>
        <x:v>1593.9980174427947</x:v>
      </x:c>
      <x:c r="O12" s="267" t="n">
        <x:f>H12*'Assumptions'!D23+I12*'Assumptions'!D24+J12*'Assumptions'!D25</x:f>
        <x:v>12.007611594048669</x:v>
      </x:c>
      <x:c r="P12" s="267" t="n">
        <x:f>J12*'Assumptions'!D26</x:f>
        <x:v>6.900926203476246</x:v>
      </x:c>
      <x:c r="Q12" s="269" t="n">
        <x:f>(O12+P12)*(('Assumptions'!D29/1000000)*'Assumptions'!D27+('Assumptions'!D30/1000000)*'Assumptions'!D28)*'Assumptions'!D31</x:f>
        <x:v>0.9099733815058865</x:v>
      </x:c>
      <x:c r="R12" s="267" t="n">
        <x:f>(C12+D12)*('Assumptions'!D6*'Assumptions'!D34+'Assumptions'!D7*'Assumptions'!D35+'Assumptions'!D8*'Assumptions'!D36)</x:f>
        <x:v>19.50198676411953</x:v>
      </x:c>
      <x:c r="S12" s="268" t="n">
        <x:f>R12*(('Assumptions'!D32/1000000)*'Assumptions'!D27+('Assumptions'!D33/1000000)*'Assumptions'!D28)</x:f>
        <x:v>0.10238543051162753</x:v>
      </x:c>
      <x:c r="T12" s="268" t="n">
        <x:f>SUM(Q12,S12)</x:f>
        <x:v>1.012358812017514</x:v>
      </x:c>
      <x:c r="U12" s="268" t="n">
        <x:f>K12*('Assumptions'!D37+'Assumptions'!D39)+(I12+J12)*'Assumptions'!D38+L12*'Assumptions'!D37+(H12*'Assumptions'!D17+I12*'Assumptions'!D18+J12*'Assumptions'!D19)*'Assumptions'!D38+M12*'Assumptions'!D37+O12*'Assumptions'!D38</x:f>
        <x:v>100.31505704237769</x:v>
      </x:c>
      <x:c r="V12" s="268" t="n">
        <x:f>'Assumptions'!D11</x:f>
        <x:v>250</x:v>
      </x:c>
      <x:c r="W12" s="268" t="n">
        <x:f>'Assumptions'!D12</x:f>
        <x:v>250</x:v>
      </x:c>
      <x:c r="X12" s="268" t="n">
        <x:f>SUM(T12:W12)</x:f>
        <x:v>601.3274158543952</x:v>
      </x:c>
      <x:c r="Y12" s="268" t="n">
        <x:f>N12-X12</x:f>
        <x:v>992.6706015883994</x:v>
      </x:c>
      <x:c r="Z12" s="270" t="n">
        <x:f>IF(N12=0,0,Y12/N12)</x:f>
        <x:v>0.6227552297592643</x:v>
      </x:c>
      <x:c r="AA12" s="268" t="n">
        <x:f>AA11+Y12</x:f>
        <x:v>7756.896616918445</x:v>
      </x:c>
      <x:c r="AB12" s="268" t="n">
        <x:f>IF(G12=0,0,N12/G12)</x:f>
        <x:v>3.0797760000000007</x:v>
      </x:c>
    </x:row>
    <x:row r="13">
      <x:c r="A13" s="204" t="str">
        <x:v>Apr 2027</x:v>
      </x:c>
      <x:c r="B13" s="267" t="n">
        <x:f>F12</x:f>
        <x:v>518.6546221772768</x:v>
      </x:c>
      <x:c r="C13" s="267" t="n">
        <x:f>'Assumptions'!D12/'Assumptions'!D13</x:f>
        <x:v>12.5</x:v>
      </x:c>
      <x:c r="D13" s="267" t="n">
        <x:f>B13*'Assumptions'!D14</x:f>
        <x:v>5.186546221772768</x:v>
      </x:c>
      <x:c r="E13" s="267" t="n">
        <x:f>B13*'Assumptions'!D15</x:f>
        <x:v>15.559638665318303</x:v>
      </x:c>
      <x:c r="F13" s="267" t="n">
        <x:f>B13+C13+D13-E13</x:f>
        <x:v>520.7815297337313</x:v>
      </x:c>
      <x:c r="G13" s="267" t="n">
        <x:f>(B13+F13)/2</x:f>
        <x:v>519.718075955504</x:v>
      </x:c>
      <x:c r="H13" s="267" t="n">
        <x:f>G13*'Assumptions'!D6</x:f>
        <x:v>415.7744607644032</x:v>
      </x:c>
      <x:c r="I13" s="267" t="n">
        <x:f>G13*'Assumptions'!D7</x:f>
        <x:v>83.15489215288063</x:v>
      </x:c>
      <x:c r="J13" s="267" t="n">
        <x:f>G13*'Assumptions'!D8</x:f>
        <x:v>20.78872303822016</x:v>
      </x:c>
      <x:c r="K13" s="268" t="n">
        <x:f>I13*'Assumptions'!D9+J13*'Assumptions'!D10</x:f>
        <x:v>1246.2839461412984</x:v>
      </x:c>
      <x:c r="L13" s="268" t="n">
        <x:f>(H13*'Assumptions'!D17+I13*'Assumptions'!D18+J13*'Assumptions'!D19)*'Assumptions'!D16</x:f>
        <x:v>179.82245428060438</x:v>
      </x:c>
      <x:c r="M13" s="268" t="n">
        <x:f>H13*'Assumptions'!D23*'Assumptions'!D20+I13*'Assumptions'!D24*'Assumptions'!D20*(1-'Assumptions'!D21)+J13*'Assumptions'!D25*'Assumptions'!D20*(1-'Assumptions'!D22)</x:f>
        <x:v>174.5088566720353</x:v>
      </x:c>
      <x:c r="N13" s="268" t="n">
        <x:f>SUM(K13:M13)</x:f>
        <x:v>1600.6152570939382</x:v>
      </x:c>
      <x:c r="O13" s="267" t="n">
        <x:f>H13*'Assumptions'!D23+I13*'Assumptions'!D24+J13*'Assumptions'!D25</x:f>
        <x:v>12.057459362167693</x:v>
      </x:c>
      <x:c r="P13" s="267" t="n">
        <x:f>J13*'Assumptions'!D26</x:f>
        <x:v>6.929574346073386</x:v>
      </x:c>
      <x:c r="Q13" s="269" t="n">
        <x:f>(O13+P13)*(('Assumptions'!D29/1000000)*'Assumptions'!D27+('Assumptions'!D30/1000000)*'Assumptions'!D28)*'Assumptions'!D31</x:f>
        <x:v>0.9137509972091019</x:v>
      </x:c>
      <x:c r="R13" s="267" t="n">
        <x:f>(C13+D13)*('Assumptions'!D6*'Assumptions'!D34+'Assumptions'!D7*'Assumptions'!D35+'Assumptions'!D8*'Assumptions'!D36)</x:f>
        <x:v>19.525947028837138</x:v>
      </x:c>
      <x:c r="S13" s="268" t="n">
        <x:f>R13*(('Assumptions'!D32/1000000)*'Assumptions'!D27+('Assumptions'!D33/1000000)*'Assumptions'!D28)</x:f>
        <x:v>0.10251122190139497</x:v>
      </x:c>
      <x:c r="T13" s="268" t="n">
        <x:f>SUM(Q13,S13)</x:f>
        <x:v>1.0162622191104969</x:v>
      </x:c>
      <x:c r="U13" s="268" t="n">
        <x:f>K13*('Assumptions'!D37+'Assumptions'!D39)+(I13+J13)*'Assumptions'!D38+L13*'Assumptions'!D37+(H13*'Assumptions'!D17+I13*'Assumptions'!D18+J13*'Assumptions'!D19)*'Assumptions'!D38+M13*'Assumptions'!D37+O13*'Assumptions'!D38</x:f>
        <x:v>100.7314997015301</x:v>
      </x:c>
      <x:c r="V13" s="268" t="n">
        <x:f>'Assumptions'!D11</x:f>
        <x:v>250</x:v>
      </x:c>
      <x:c r="W13" s="268" t="n">
        <x:f>'Assumptions'!D12</x:f>
        <x:v>250</x:v>
      </x:c>
      <x:c r="X13" s="268" t="n">
        <x:f>SUM(T13:W13)</x:f>
        <x:v>601.7477619206406</x:v>
      </x:c>
      <x:c r="Y13" s="268" t="n">
        <x:f>N13-X13</x:f>
        <x:v>998.8674951732976</x:v>
      </x:c>
      <x:c r="Z13" s="270" t="n">
        <x:f>IF(N13=0,0,Y13/N13)</x:f>
        <x:v>0.6240522141384757</x:v>
      </x:c>
      <x:c r="AA13" s="268" t="n">
        <x:f>AA12+Y13</x:f>
        <x:v>8755.764112091743</x:v>
      </x:c>
      <x:c r="AB13" s="268" t="n">
        <x:f>IF(G13=0,0,N13/G13)</x:f>
        <x:v>3.079776</x:v>
      </x:c>
    </x:row>
    <x:row r="14">
      <x:c r="A14" s="204" t="str">
        <x:v>May 2027</x:v>
      </x:c>
      <x:c r="B14" s="267" t="n">
        <x:f>F13</x:f>
        <x:v>520.7815297337313</x:v>
      </x:c>
      <x:c r="C14" s="267" t="n">
        <x:f>'Assumptions'!D12/'Assumptions'!D13</x:f>
        <x:v>12.5</x:v>
      </x:c>
      <x:c r="D14" s="267" t="n">
        <x:f>B14*'Assumptions'!D14</x:f>
        <x:v>5.207815297337313</x:v>
      </x:c>
      <x:c r="E14" s="267" t="n">
        <x:f>B14*'Assumptions'!D15</x:f>
        <x:v>15.623445892011938</x:v>
      </x:c>
      <x:c r="F14" s="267" t="n">
        <x:f>B14+C14+D14-E14</x:f>
        <x:v>522.8658991390568</x:v>
      </x:c>
      <x:c r="G14" s="267" t="n">
        <x:f>(B14+F14)/2</x:f>
        <x:v>521.8237144363941</x:v>
      </x:c>
      <x:c r="H14" s="267" t="n">
        <x:f>G14*'Assumptions'!D6</x:f>
        <x:v>417.4589715491153</x:v>
      </x:c>
      <x:c r="I14" s="267" t="n">
        <x:f>G14*'Assumptions'!D7</x:f>
        <x:v>83.49179430982305</x:v>
      </x:c>
      <x:c r="J14" s="267" t="n">
        <x:f>G14*'Assumptions'!D8</x:f>
        <x:v>20.872948577455762</x:v>
      </x:c>
      <x:c r="K14" s="268" t="n">
        <x:f>I14*'Assumptions'!D9+J14*'Assumptions'!D10</x:f>
        <x:v>1251.3332672184729</x:v>
      </x:c>
      <x:c r="L14" s="268" t="n">
        <x:f>(H14*'Assumptions'!D17+I14*'Assumptions'!D18+J14*'Assumptions'!D19)*'Assumptions'!D16</x:f>
        <x:v>180.55100519499234</x:v>
      </x:c>
      <x:c r="M14" s="268" t="n">
        <x:f>H14*'Assumptions'!D23*'Assumptions'!D20+I14*'Assumptions'!D24*'Assumptions'!D20*(1-'Assumptions'!D21)+J14*'Assumptions'!D25*'Assumptions'!D20*(1-'Assumptions'!D22)</x:f>
        <x:v>175.21587953859466</x:v>
      </x:c>
      <x:c r="N14" s="268" t="n">
        <x:f>SUM(K14:M14)</x:f>
        <x:v>1607.1001519520598</x:v>
      </x:c>
      <x:c r="O14" s="267" t="n">
        <x:f>H14*'Assumptions'!D23+I14*'Assumptions'!D24+J14*'Assumptions'!D25</x:f>
        <x:v>12.106310174924342</x:v>
      </x:c>
      <x:c r="P14" s="267" t="n">
        <x:f>J14*'Assumptions'!D26</x:f>
        <x:v>6.957649525818587</x:v>
      </x:c>
      <x:c r="Q14" s="269" t="n">
        <x:f>(O14+P14)*(('Assumptions'!D29/1000000)*'Assumptions'!D27+('Assumptions'!D30/1000000)*'Assumptions'!D28)*'Assumptions'!D31</x:f>
        <x:v>0.9174530605982535</x:v>
      </x:c>
      <x:c r="R14" s="267" t="n">
        <x:f>(C14+D14)*('Assumptions'!D6*'Assumptions'!D34+'Assumptions'!D7*'Assumptions'!D35+'Assumptions'!D8*'Assumptions'!D36)</x:f>
        <x:v>19.549428088260395</x:v>
      </x:c>
      <x:c r="S14" s="268" t="n">
        <x:f>R14*(('Assumptions'!D32/1000000)*'Assumptions'!D27+('Assumptions'!D33/1000000)*'Assumptions'!D28)</x:f>
        <x:v>0.10263449746336709</x:v>
      </x:c>
      <x:c r="T14" s="268" t="n">
        <x:f>SUM(Q14,S14)</x:f>
        <x:v>1.0200875580616207</x:v>
      </x:c>
      <x:c r="U14" s="268" t="n">
        <x:f>K14*('Assumptions'!D37+'Assumptions'!D39)+(I14+J14)*'Assumptions'!D38+L14*'Assumptions'!D37+(H14*'Assumptions'!D17+I14*'Assumptions'!D18+J14*'Assumptions'!D19)*'Assumptions'!D38+M14*'Assumptions'!D37+O14*'Assumptions'!D38</x:f>
        <x:v>101.13961350749955</x:v>
      </x:c>
      <x:c r="V14" s="268" t="n">
        <x:f>'Assumptions'!D11</x:f>
        <x:v>250</x:v>
      </x:c>
      <x:c r="W14" s="268" t="n">
        <x:f>'Assumptions'!D12</x:f>
        <x:v>250</x:v>
      </x:c>
      <x:c r="X14" s="268" t="n">
        <x:f>SUM(T14:W14)</x:f>
        <x:v>602.1597010655612</x:v>
      </x:c>
      <x:c r="Y14" s="268" t="n">
        <x:f>N14-X14</x:f>
        <x:v>1004.9404508864986</x:v>
      </x:c>
      <x:c r="Z14" s="270" t="n">
        <x:f>IF(N14=0,0,Y14/N14)</x:f>
        <x:v>0.6253128964401194</x:v>
      </x:c>
      <x:c r="AA14" s="268" t="n">
        <x:f>AA13+Y14</x:f>
        <x:v>9760.704562978242</x:v>
      </x:c>
      <x:c r="AB14" s="268" t="n">
        <x:f>IF(G14=0,0,N14/G14)</x:f>
        <x:v>3.079776</x:v>
      </x:c>
    </x:row>
    <x:row r="15">
      <x:c r="A15" s="204" t="str">
        <x:v>Jun 2027</x:v>
      </x:c>
      <x:c r="B15" s="267" t="n">
        <x:f>F14</x:f>
        <x:v>522.8658991390568</x:v>
      </x:c>
      <x:c r="C15" s="267" t="n">
        <x:f>'Assumptions'!D12/'Assumptions'!D13</x:f>
        <x:v>12.5</x:v>
      </x:c>
      <x:c r="D15" s="267" t="n">
        <x:f>B15*'Assumptions'!D14</x:f>
        <x:v>5.228658991390567</x:v>
      </x:c>
      <x:c r="E15" s="267" t="n">
        <x:f>B15*'Assumptions'!D15</x:f>
        <x:v>15.685976974171702</x:v>
      </x:c>
      <x:c r="F15" s="267" t="n">
        <x:f>B15+C15+D15-E15</x:f>
        <x:v>524.9085811562757</x:v>
      </x:c>
      <x:c r="G15" s="267" t="n">
        <x:f>(B15+F15)/2</x:f>
        <x:v>523.8872401476663</x:v>
      </x:c>
      <x:c r="H15" s="267" t="n">
        <x:f>G15*'Assumptions'!D6</x:f>
        <x:v>419.10979211813304</x:v>
      </x:c>
      <x:c r="I15" s="267" t="n">
        <x:f>G15*'Assumptions'!D7</x:f>
        <x:v>83.8219584236266</x:v>
      </x:c>
      <x:c r="J15" s="267" t="n">
        <x:f>G15*'Assumptions'!D8</x:f>
        <x:v>20.95548960590665</x:v>
      </x:c>
      <x:c r="K15" s="268" t="n">
        <x:f>I15*'Assumptions'!D9+J15*'Assumptions'!D10</x:f>
        <x:v>1256.2816018741037</x:v>
      </x:c>
      <x:c r="L15" s="268" t="n">
        <x:f>(H15*'Assumptions'!D17+I15*'Assumptions'!D18+J15*'Assumptions'!D19)*'Assumptions'!D16</x:f>
        <x:v>181.26498509109254</x:v>
      </x:c>
      <x:c r="M15" s="268" t="n">
        <x:f>H15*'Assumptions'!D23*'Assumptions'!D20+I15*'Assumptions'!D24*'Assumptions'!D20*(1-'Assumptions'!D21)+J15*'Assumptions'!D25*'Assumptions'!D20*(1-'Assumptions'!D22)</x:f>
        <x:v>175.9087619478228</x:v>
      </x:c>
      <x:c r="N15" s="268" t="n">
        <x:f>SUM(K15:M15)</x:f>
        <x:v>1613.455348913019</x:v>
      </x:c>
      <x:c r="O15" s="267" t="n">
        <x:f>H15*'Assumptions'!D23+I15*'Assumptions'!D24+J15*'Assumptions'!D25</x:f>
        <x:v>12.154183971425859</x:v>
      </x:c>
      <x:c r="P15" s="267" t="n">
        <x:f>J15*'Assumptions'!D26</x:f>
        <x:v>6.9851632019688825</x:v>
      </x:c>
      <x:c r="Q15" s="269" t="n">
        <x:f>(O15+P15)*(('Assumptions'!D29/1000000)*'Assumptions'!D27+('Assumptions'!D30/1000000)*'Assumptions'!D28)*'Assumptions'!D31</x:f>
        <x:v>0.9210810827196219</x:v>
      </x:c>
      <x:c r="R15" s="267" t="n">
        <x:f>(C15+D15)*('Assumptions'!D6*'Assumptions'!D34+'Assumptions'!D7*'Assumptions'!D35+'Assumptions'!D8*'Assumptions'!D36)</x:f>
        <x:v>19.572439526495188</x:v>
      </x:c>
      <x:c r="S15" s="268" t="n">
        <x:f>R15*(('Assumptions'!D32/1000000)*'Assumptions'!D27+('Assumptions'!D33/1000000)*'Assumptions'!D28)</x:f>
        <x:v>0.10275530751409974</x:v>
      </x:c>
      <x:c r="T15" s="268" t="n">
        <x:f>SUM(Q15,S15)</x:f>
        <x:v>1.0238363902337215</x:v>
      </x:c>
      <x:c r="U15" s="268" t="n">
        <x:f>K15*('Assumptions'!D37+'Assumptions'!D39)+(I15+J15)*'Assumptions'!D38+L15*'Assumptions'!D37+(H15*'Assumptions'!D17+I15*'Assumptions'!D18+J15*'Assumptions'!D19)*'Assumptions'!D38+M15*'Assumptions'!D37+O15*'Assumptions'!D38</x:f>
        <x:v>101.53956503734956</x:v>
      </x:c>
      <x:c r="V15" s="268" t="n">
        <x:f>'Assumptions'!D11</x:f>
        <x:v>250</x:v>
      </x:c>
      <x:c r="W15" s="268" t="n">
        <x:f>'Assumptions'!D12</x:f>
        <x:v>250</x:v>
      </x:c>
      <x:c r="X15" s="268" t="n">
        <x:f>SUM(T15:W15)</x:f>
        <x:v>602.5634014275834</x:v>
      </x:c>
      <x:c r="Y15" s="268" t="n">
        <x:f>N15-X15</x:f>
        <x:v>1010.8919474854356</x:v>
      </x:c>
      <x:c r="Z15" s="270" t="n">
        <x:f>IF(N15=0,0,Y15/N15)</x:f>
        <x:v>0.6265385330721864</x:v>
      </x:c>
      <x:c r="AA15" s="268" t="n">
        <x:f>AA14+Y15</x:f>
        <x:v>10771.596510463678</x:v>
      </x:c>
      <x:c r="AB15" s="268" t="n">
        <x:f>IF(G15=0,0,N15/G15)</x:f>
        <x:v>3.079776</x:v>
      </x:c>
    </x:row>
    <x:row r="16">
      <x:c r="A16" s="204" t="str">
        <x:v>Jul 2027</x:v>
      </x:c>
      <x:c r="B16" s="267" t="n">
        <x:f>F15</x:f>
        <x:v>524.9085811562757</x:v>
      </x:c>
      <x:c r="C16" s="267" t="n">
        <x:f>'Assumptions'!D12/'Assumptions'!D13</x:f>
        <x:v>12.5</x:v>
      </x:c>
      <x:c r="D16" s="267" t="n">
        <x:f>B16*'Assumptions'!D14</x:f>
        <x:v>5.2490858115627566</x:v>
      </x:c>
      <x:c r="E16" s="267" t="n">
        <x:f>B16*'Assumptions'!D15</x:f>
        <x:v>15.747257434688269</x:v>
      </x:c>
      <x:c r="F16" s="267" t="n">
        <x:f>B16+C16+D16-E16</x:f>
        <x:v>526.9104095331501</x:v>
      </x:c>
      <x:c r="G16" s="267" t="n">
        <x:f>(B16+F16)/2</x:f>
        <x:v>525.9094953447129</x:v>
      </x:c>
      <x:c r="H16" s="267" t="n">
        <x:f>G16*'Assumptions'!D6</x:f>
        <x:v>420.72759627577034</x:v>
      </x:c>
      <x:c r="I16" s="267" t="n">
        <x:f>G16*'Assumptions'!D7</x:f>
        <x:v>84.14551925515407</x:v>
      </x:c>
      <x:c r="J16" s="267" t="n">
        <x:f>G16*'Assumptions'!D8</x:f>
        <x:v>21.036379813788518</x:v>
      </x:c>
      <x:c r="K16" s="268" t="n">
        <x:f>I16*'Assumptions'!D9+J16*'Assumptions'!D10</x:f>
        <x:v>1261.1309698366217</x:v>
      </x:c>
      <x:c r="L16" s="268" t="n">
        <x:f>(H16*'Assumptions'!D17+I16*'Assumptions'!D18+J16*'Assumptions'!D19)*'Assumptions'!D16</x:f>
        <x:v>181.96468538927067</x:v>
      </x:c>
      <x:c r="M16" s="268" t="n">
        <x:f>H16*'Assumptions'!D23*'Assumptions'!D20+I16*'Assumptions'!D24*'Assumptions'!D20*(1-'Assumptions'!D21)+J16*'Assumptions'!D25*'Assumptions'!D20*(1-'Assumptions'!D22)</x:f>
        <x:v>176.58778670886636</x:v>
      </x:c>
      <x:c r="N16" s="268" t="n">
        <x:f>SUM(K16:M16)</x:f>
        <x:v>1619.6834419347588</x:v>
      </x:c>
      <x:c r="O16" s="267" t="n">
        <x:f>H16*'Assumptions'!D23+I16*'Assumptions'!D24+J16*'Assumptions'!D25</x:f>
        <x:v>12.201100291997342</x:v>
      </x:c>
      <x:c r="P16" s="267" t="n">
        <x:f>J16*'Assumptions'!D26</x:f>
        <x:v>7.0121266045961725</x:v>
      </x:c>
      <x:c r="Q16" s="269" t="n">
        <x:f>(O16+P16)*(('Assumptions'!D29/1000000)*'Assumptions'!D27+('Assumptions'!D30/1000000)*'Assumptions'!D28)*'Assumptions'!D31</x:f>
        <x:v>0.9246365443985629</x:v>
      </x:c>
      <x:c r="R16" s="267" t="n">
        <x:f>(C16+D16)*('Assumptions'!D6*'Assumptions'!D34+'Assumptions'!D7*'Assumptions'!D35+'Assumptions'!D8*'Assumptions'!D36)</x:f>
        <x:v>19.594990735965286</x:v>
      </x:c>
      <x:c r="S16" s="268" t="n">
        <x:f>R16*(('Assumptions'!D32/1000000)*'Assumptions'!D27+('Assumptions'!D33/1000000)*'Assumptions'!D28)</x:f>
        <x:v>0.10287370136381777</x:v>
      </x:c>
      <x:c r="T16" s="268" t="n">
        <x:f>SUM(Q16,S16)</x:f>
        <x:v>1.0275102457623806</x:v>
      </x:c>
      <x:c r="U16" s="268" t="n">
        <x:f>K16*('Assumptions'!D37+'Assumptions'!D39)+(I16+J16)*'Assumptions'!D38+L16*'Assumptions'!D37+(H16*'Assumptions'!D17+I16*'Assumptions'!D18+J16*'Assumptions'!D19)*'Assumptions'!D38+M16*'Assumptions'!D37+O16*'Assumptions'!D38</x:f>
        <x:v>101.93151753660257</x:v>
      </x:c>
      <x:c r="V16" s="268" t="n">
        <x:f>'Assumptions'!D11</x:f>
        <x:v>250</x:v>
      </x:c>
      <x:c r="W16" s="268" t="n">
        <x:f>'Assumptions'!D12</x:f>
        <x:v>250</x:v>
      </x:c>
      <x:c r="X16" s="268" t="n">
        <x:f>SUM(T16:W16)</x:f>
        <x:v>602.959027782365</x:v>
      </x:c>
      <x:c r="Y16" s="268" t="n">
        <x:f>N16-X16</x:f>
        <x:v>1016.7244141523938</x:v>
      </x:c>
      <x:c r="Z16" s="270" t="n">
        <x:f>IF(N16=0,0,Y16/N16)</x:f>
        <x:v>0.6277303254627874</x:v>
      </x:c>
      <x:c r="AA16" s="268" t="n">
        <x:f>AA15+Y16</x:f>
        <x:v>11788.320924616071</x:v>
      </x:c>
      <x:c r="AB16" s="268" t="n">
        <x:f>IF(G16=0,0,N16/G16)</x:f>
        <x:v>3.0797760000000003</x:v>
      </x:c>
    </x:row>
    <x:row r="17">
      <x:c r="A17" s="204" t="str">
        <x:v>Aug 2027</x:v>
      </x:c>
      <x:c r="B17" s="267" t="n">
        <x:f>F16</x:f>
        <x:v>526.9104095331501</x:v>
      </x:c>
      <x:c r="C17" s="267" t="n">
        <x:f>'Assumptions'!D12/'Assumptions'!D13</x:f>
        <x:v>12.5</x:v>
      </x:c>
      <x:c r="D17" s="267" t="n">
        <x:f>B17*'Assumptions'!D14</x:f>
        <x:v>5.2691040953315005</x:v>
      </x:c>
      <x:c r="E17" s="267" t="n">
        <x:f>B17*'Assumptions'!D15</x:f>
        <x:v>15.807312285994502</x:v>
      </x:c>
      <x:c r="F17" s="267" t="n">
        <x:f>B17+C17+D17-E17</x:f>
        <x:v>528.8722013424871</x:v>
      </x:c>
      <x:c r="G17" s="267" t="n">
        <x:f>(B17+F17)/2</x:f>
        <x:v>527.8913054378186</x:v>
      </x:c>
      <x:c r="H17" s="267" t="n">
        <x:f>G17*'Assumptions'!D6</x:f>
        <x:v>422.31304435025487</x:v>
      </x:c>
      <x:c r="I17" s="267" t="n">
        <x:f>G17*'Assumptions'!D7</x:f>
        <x:v>84.46260887005097</x:v>
      </x:c>
      <x:c r="J17" s="267" t="n">
        <x:f>G17*'Assumptions'!D8</x:f>
        <x:v>21.115652217512743</x:v>
      </x:c>
      <x:c r="K17" s="268" t="n">
        <x:f>I17*'Assumptions'!D9+J17*'Assumptions'!D10</x:f>
        <x:v>1265.883350439889</x:v>
      </x:c>
      <x:c r="L17" s="268" t="n">
        <x:f>(H17*'Assumptions'!D17+I17*'Assumptions'!D18+J17*'Assumptions'!D19)*'Assumptions'!D16</x:f>
        <x:v>182.65039168148525</x:v>
      </x:c>
      <x:c r="M17" s="268" t="n">
        <x:f>H17*'Assumptions'!D23*'Assumptions'!D20+I17*'Assumptions'!D24*'Assumptions'!D20*(1-'Assumptions'!D21)+J17*'Assumptions'!D25*'Assumptions'!D20*(1-'Assumptions'!D22)</x:f>
        <x:v>177.25323097468896</x:v>
      </x:c>
      <x:c r="N17" s="268" t="n">
        <x:f>SUM(K17:M17)</x:f>
        <x:v>1625.786973096063</x:v>
      </x:c>
      <x:c r="O17" s="267" t="n">
        <x:f>H17*'Assumptions'!D23+I17*'Assumptions'!D24+J17*'Assumptions'!D25</x:f>
        <x:v>12.24707828615739</x:v>
      </x:c>
      <x:c r="P17" s="267" t="n">
        <x:f>J17*'Assumptions'!D26</x:f>
        <x:v>7.038550739170914</x:v>
      </x:c>
      <x:c r="Q17" s="269" t="n">
        <x:f>(O17+P17)*(('Assumptions'!D29/1000000)*'Assumptions'!D27+('Assumptions'!D30/1000000)*'Assumptions'!D28)*'Assumptions'!D31</x:f>
        <x:v>0.9281208968439247</x:v>
      </x:c>
      <x:c r="R17" s="267" t="n">
        <x:f>(C17+D17)*('Assumptions'!D6*'Assumptions'!D34+'Assumptions'!D7*'Assumptions'!D35+'Assumptions'!D8*'Assumptions'!D36)</x:f>
        <x:v>19.61709092124598</x:v>
      </x:c>
      <x:c r="S17" s="268" t="n">
        <x:f>R17*(('Assumptions'!D32/1000000)*'Assumptions'!D27+('Assumptions'!D33/1000000)*'Assumptions'!D28)</x:f>
        <x:v>0.1029897273365414</x:v>
      </x:c>
      <x:c r="T17" s="268" t="n">
        <x:f>SUM(Q17,S17)</x:f>
        <x:v>1.0311106241804662</x:v>
      </x:c>
      <x:c r="U17" s="268" t="n">
        <x:f>K17*('Assumptions'!D37+'Assumptions'!D39)+(I17+J17)*'Assumptions'!D38+L17*'Assumptions'!D37+(H17*'Assumptions'!D17+I17*'Assumptions'!D18+J17*'Assumptions'!D19)*'Assumptions'!D38+M17*'Assumptions'!D37+O17*'Assumptions'!D38</x:f>
        <x:v>102.31563098587051</x:v>
      </x:c>
      <x:c r="V17" s="268" t="n">
        <x:f>'Assumptions'!D11</x:f>
        <x:v>250</x:v>
      </x:c>
      <x:c r="W17" s="268" t="n">
        <x:f>'Assumptions'!D12</x:f>
        <x:v>250</x:v>
      </x:c>
      <x:c r="X17" s="268" t="n">
        <x:f>SUM(T17:W17)</x:f>
        <x:v>603.3467416100509</x:v>
      </x:c>
      <x:c r="Y17" s="268" t="n">
        <x:f>N17-X17</x:f>
        <x:v>1022.4402314860122</x:v>
      </x:c>
      <x:c r="Z17" s="270" t="n">
        <x:f>IF(N17=0,0,Y17/N17)</x:f>
        <x:v>0.6288894230336529</x:v>
      </x:c>
      <x:c r="AA17" s="268" t="n">
        <x:f>AA16+Y17</x:f>
        <x:v>12810.761156102084</x:v>
      </x:c>
      <x:c r="AB17" s="268" t="n">
        <x:f>IF(G17=0,0,N17/G17)</x:f>
        <x:v>3.079776</x:v>
      </x:c>
    </x:row>
    <x:row r="18">
      <x:c r="A18" s="204" t="str">
        <x:v>Sep 2027</x:v>
      </x:c>
      <x:c r="B18" s="267" t="n">
        <x:f>F17</x:f>
        <x:v>528.8722013424871</x:v>
      </x:c>
      <x:c r="C18" s="267" t="n">
        <x:f>'Assumptions'!D12/'Assumptions'!D13</x:f>
        <x:v>12.5</x:v>
      </x:c>
      <x:c r="D18" s="267" t="n">
        <x:f>B18*'Assumptions'!D14</x:f>
        <x:v>5.288722013424871</x:v>
      </x:c>
      <x:c r="E18" s="267" t="n">
        <x:f>B18*'Assumptions'!D15</x:f>
        <x:v>15.866166040274612</x:v>
      </x:c>
      <x:c r="F18" s="267" t="n">
        <x:f>B18+C18+D18-E18</x:f>
        <x:v>530.7947573156373</x:v>
      </x:c>
      <x:c r="G18" s="267" t="n">
        <x:f>(B18+F18)/2</x:f>
        <x:v>529.8334793290621</x:v>
      </x:c>
      <x:c r="H18" s="267" t="n">
        <x:f>G18*'Assumptions'!D6</x:f>
        <x:v>423.8667834632497</x:v>
      </x:c>
      <x:c r="I18" s="267" t="n">
        <x:f>G18*'Assumptions'!D7</x:f>
        <x:v>84.77335669264994</x:v>
      </x:c>
      <x:c r="J18" s="267" t="n">
        <x:f>G18*'Assumptions'!D8</x:f>
        <x:v>21.193339173162485</x:v>
      </x:c>
      <x:c r="K18" s="268" t="n">
        <x:f>I18*'Assumptions'!D9+J18*'Assumptions'!D10</x:f>
        <x:v>1270.5406834310909</x:v>
      </x:c>
      <x:c r="L18" s="268" t="n">
        <x:f>(H18*'Assumptions'!D17+I18*'Assumptions'!D18+J18*'Assumptions'!D19)*'Assumptions'!D16</x:f>
        <x:v>183.32238384785552</x:v>
      </x:c>
      <x:c r="M18" s="268" t="n">
        <x:f>H18*'Assumptions'!D23*'Assumptions'!D20+I18*'Assumptions'!D24*'Assumptions'!D20*(1-'Assumptions'!D21)+J18*'Assumptions'!D25*'Assumptions'!D20*(1-'Assumptions'!D22)</x:f>
        <x:v>177.90536635519518</x:v>
      </x:c>
      <x:c r="N18" s="268" t="n">
        <x:f>SUM(K18:M18)</x:f>
        <x:v>1631.7684336341415</x:v>
      </x:c>
      <x:c r="O18" s="267" t="n">
        <x:f>H18*'Assumptions'!D23+I18*'Assumptions'!D24+J18*'Assumptions'!D25</x:f>
        <x:v>12.292136720434241</x:v>
      </x:c>
      <x:c r="P18" s="267" t="n">
        <x:f>J18*'Assumptions'!D26</x:f>
        <x:v>7.064446391054162</x:v>
      </x:c>
      <x:c r="Q18" s="269" t="n">
        <x:f>(O18+P18)*(('Assumptions'!D29/1000000)*'Assumptions'!D27+('Assumptions'!D30/1000000)*'Assumptions'!D28)*'Assumptions'!D31</x:f>
        <x:v>0.9315355622403795</x:v>
      </x:c>
      <x:c r="R18" s="267" t="n">
        <x:f>(C18+D18)*('Assumptions'!D6*'Assumptions'!D34+'Assumptions'!D7*'Assumptions'!D35+'Assumptions'!D8*'Assumptions'!D36)</x:f>
        <x:v>19.63874910282106</x:v>
      </x:c>
      <x:c r="S18" s="268" t="n">
        <x:f>R18*(('Assumptions'!D32/1000000)*'Assumptions'!D27+('Assumptions'!D33/1000000)*'Assumptions'!D28)</x:f>
        <x:v>0.10310343278981057</x:v>
      </x:c>
      <x:c r="T18" s="268" t="n">
        <x:f>SUM(Q18,S18)</x:f>
        <x:v>1.03463899503019</x:v>
      </x:c>
      <x:c r="U18" s="268" t="n">
        <x:f>K18*('Assumptions'!D37+'Assumptions'!D39)+(I18+J18)*'Assumptions'!D38+L18*'Assumptions'!D37+(H18*'Assumptions'!D17+I18*'Assumptions'!D18+J18*'Assumptions'!D19)*'Assumptions'!D38+M18*'Assumptions'!D37+O18*'Assumptions'!D38</x:f>
        <x:v>102.69206216615308</x:v>
      </x:c>
      <x:c r="V18" s="268" t="n">
        <x:f>'Assumptions'!D11</x:f>
        <x:v>250</x:v>
      </x:c>
      <x:c r="W18" s="268" t="n">
        <x:f>'Assumptions'!D12</x:f>
        <x:v>250</x:v>
      </x:c>
      <x:c r="X18" s="268" t="n">
        <x:f>SUM(T18:W18)</x:f>
        <x:v>603.7267011611832</x:v>
      </x:c>
      <x:c r="Y18" s="268" t="n">
        <x:f>N18-X18</x:f>
        <x:v>1028.0417324729583</x:v>
      </x:c>
      <x:c r="Z18" s="270" t="n">
        <x:f>IF(N18=0,0,Y18/N18)</x:f>
        <x:v>0.6300169259821919</x:v>
      </x:c>
      <x:c r="AA18" s="268" t="n">
        <x:f>AA17+Y18</x:f>
        <x:v>13838.802888575043</x:v>
      </x:c>
      <x:c r="AB18" s="268" t="n">
        <x:f>IF(G18=0,0,N18/G18)</x:f>
        <x:v>3.079776</x:v>
      </x:c>
    </x:row>
    <x:row r="19">
      <x:c r="A19" s="204" t="str">
        <x:v>Oct 2027</x:v>
      </x:c>
      <x:c r="B19" s="267" t="n">
        <x:f>F18</x:f>
        <x:v>530.7947573156373</x:v>
      </x:c>
      <x:c r="C19" s="267" t="n">
        <x:f>'Assumptions'!D12/'Assumptions'!D13</x:f>
        <x:v>12.5</x:v>
      </x:c>
      <x:c r="D19" s="267" t="n">
        <x:f>B19*'Assumptions'!D14</x:f>
        <x:v>5.3079475731563734</x:v>
      </x:c>
      <x:c r="E19" s="267" t="n">
        <x:f>B19*'Assumptions'!D15</x:f>
        <x:v>15.923842719469118</x:v>
      </x:c>
      <x:c r="F19" s="267" t="n">
        <x:f>B19+C19+D19-E19</x:f>
        <x:v>532.6788621693246</x:v>
      </x:c>
      <x:c r="G19" s="267" t="n">
        <x:f>(B19+F19)/2</x:f>
        <x:v>531.736809742481</x:v>
      </x:c>
      <x:c r="H19" s="267" t="n">
        <x:f>G19*'Assumptions'!D6</x:f>
        <x:v>425.3894477939848</x:v>
      </x:c>
      <x:c r="I19" s="267" t="n">
        <x:f>G19*'Assumptions'!D7</x:f>
        <x:v>85.07788955879697</x:v>
      </x:c>
      <x:c r="J19" s="267" t="n">
        <x:f>G19*'Assumptions'!D8</x:f>
        <x:v>21.269472389699242</x:v>
      </x:c>
      <x:c r="K19" s="268" t="n">
        <x:f>I19*'Assumptions'!D9+J19*'Assumptions'!D10</x:f>
        <x:v>1275.1048697624697</x:v>
      </x:c>
      <x:c r="L19" s="268" t="n">
        <x:f>(H19*'Assumptions'!D17+I19*'Assumptions'!D18+J19*'Assumptions'!D19)*'Assumptions'!D16</x:f>
        <x:v>183.98093617089845</x:v>
      </x:c>
      <x:c r="M19" s="268" t="n">
        <x:f>H19*'Assumptions'!D23*'Assumptions'!D20+I19*'Assumptions'!D24*'Assumptions'!D20*(1-'Assumptions'!D21)+J19*'Assumptions'!D25*'Assumptions'!D20*(1-'Assumptions'!D22)</x:f>
        <x:v>178.54445902809132</x:v>
      </x:c>
      <x:c r="N19" s="268" t="n">
        <x:f>SUM(K19:M19)</x:f>
        <x:v>1637.6302649614595</x:v>
      </x:c>
      <x:c r="O19" s="267" t="n">
        <x:f>H19*'Assumptions'!D23+I19*'Assumptions'!D24+J19*'Assumptions'!D25</x:f>
        <x:v>12.33629398602556</x:v>
      </x:c>
      <x:c r="P19" s="267" t="n">
        <x:f>J19*'Assumptions'!D26</x:f>
        <x:v>7.089824129899747</x:v>
      </x:c>
      <x:c r="Q19" s="269" t="n">
        <x:f>(O19+P19)*(('Assumptions'!D29/1000000)*'Assumptions'!D27+('Assumptions'!D30/1000000)*'Assumptions'!D28)*'Assumptions'!D31</x:f>
        <x:v>0.9348819343289054</x:v>
      </x:c>
      <x:c r="R19" s="267" t="n">
        <x:f>(C19+D19)*('Assumptions'!D6*'Assumptions'!D34+'Assumptions'!D7*'Assumptions'!D35+'Assumptions'!D8*'Assumptions'!D36)</x:f>
        <x:v>19.659974120764637</x:v>
      </x:c>
      <x:c r="S19" s="268" t="n">
        <x:f>R19*(('Assumptions'!D32/1000000)*'Assumptions'!D27+('Assumptions'!D33/1000000)*'Assumptions'!D28)</x:f>
        <x:v>0.10321486413401436</x:v>
      </x:c>
      <x:c r="T19" s="268" t="n">
        <x:f>SUM(Q19,S19)</x:f>
        <x:v>1.0380967984629197</x:v>
      </x:c>
      <x:c r="U19" s="268" t="n">
        <x:f>K19*('Assumptions'!D37+'Assumptions'!D39)+(I19+J19)*'Assumptions'!D38+L19*'Assumptions'!D37+(H19*'Assumptions'!D17+I19*'Assumptions'!D18+J19*'Assumptions'!D19)*'Assumptions'!D38+M19*'Assumptions'!D37+O19*'Assumptions'!D38</x:f>
        <x:v>103.06096472283005</x:v>
      </x:c>
      <x:c r="V19" s="268" t="n">
        <x:f>'Assumptions'!D11</x:f>
        <x:v>250</x:v>
      </x:c>
      <x:c r="W19" s="268" t="n">
        <x:f>'Assumptions'!D12</x:f>
        <x:v>250</x:v>
      </x:c>
      <x:c r="X19" s="268" t="n">
        <x:f>SUM(T19:W19)</x:f>
        <x:v>604.0990615212929</x:v>
      </x:c>
      <x:c r="Y19" s="268" t="n">
        <x:f>N19-X19</x:f>
        <x:v>1033.5312034401666</x:v>
      </x:c>
      <x:c r="Z19" s="270" t="n">
        <x:f>IF(N19=0,0,Y19/N19)</x:f>
        <x:v>0.6311138878863417</x:v>
      </x:c>
      <x:c r="AA19" s="268" t="n">
        <x:f>AA18+Y19</x:f>
        <x:v>14872.33409201521</x:v>
      </x:c>
      <x:c r="AB19" s="268" t="n">
        <x:f>IF(G19=0,0,N19/G19)</x:f>
        <x:v>3.0797760000000007</x:v>
      </x:c>
    </x:row>
    <x:row r="20">
      <x:c r="A20" s="204" t="str">
        <x:v>Nov 2027</x:v>
      </x:c>
      <x:c r="B20" s="267" t="n">
        <x:f>F19</x:f>
        <x:v>532.6788621693246</x:v>
      </x:c>
      <x:c r="C20" s="267" t="n">
        <x:f>'Assumptions'!D12/'Assumptions'!D13</x:f>
        <x:v>12.5</x:v>
      </x:c>
      <x:c r="D20" s="267" t="n">
        <x:f>B20*'Assumptions'!D14</x:f>
        <x:v>5.326788621693246</x:v>
      </x:c>
      <x:c r="E20" s="267" t="n">
        <x:f>B20*'Assumptions'!D15</x:f>
        <x:v>15.980365865079737</x:v>
      </x:c>
      <x:c r="F20" s="267" t="n">
        <x:f>B20+C20+D20-E20</x:f>
        <x:v>534.5252849259381</x:v>
      </x:c>
      <x:c r="G20" s="267" t="n">
        <x:f>(B20+F20)/2</x:f>
        <x:v>533.6020735476313</x:v>
      </x:c>
      <x:c r="H20" s="267" t="n">
        <x:f>G20*'Assumptions'!D6</x:f>
        <x:v>426.88165883810507</x:v>
      </x:c>
      <x:c r="I20" s="267" t="n">
        <x:f>G20*'Assumptions'!D7</x:f>
        <x:v>85.37633176762101</x:v>
      </x:c>
      <x:c r="J20" s="267" t="n">
        <x:f>G20*'Assumptions'!D8</x:f>
        <x:v>21.344082941905253</x:v>
      </x:c>
      <x:c r="K20" s="268" t="n">
        <x:f>I20*'Assumptions'!D9+J20*'Assumptions'!D10</x:f>
        <x:v>1279.57777236722</x:v>
      </x:c>
      <x:c r="L20" s="268" t="n">
        <x:f>(H20*'Assumptions'!D17+I20*'Assumptions'!D18+J20*'Assumptions'!D19)*'Assumptions'!D16</x:f>
        <x:v>184.6263174474804</x:v>
      </x:c>
      <x:c r="M20" s="268" t="n">
        <x:f>H20*'Assumptions'!D23*'Assumptions'!D20+I20*'Assumptions'!D24*'Assumptions'!D20*(1-'Assumptions'!D21)+J20*'Assumptions'!D25*'Assumptions'!D20*(1-'Assumptions'!D22)</x:f>
        <x:v>179.17076984752947</x:v>
      </x:c>
      <x:c r="N20" s="268" t="n">
        <x:f>SUM(K20:M20)</x:f>
        <x:v>1643.37485966223</x:v>
      </x:c>
      <x:c r="O20" s="267" t="n">
        <x:f>H20*'Assumptions'!D23+I20*'Assumptions'!D24+J20*'Assumptions'!D25</x:f>
        <x:v>12.379568106305047</x:v>
      </x:c>
      <x:c r="P20" s="267" t="n">
        <x:f>J20*'Assumptions'!D26</x:f>
        <x:v>7.114694313968418</x:v>
      </x:c>
      <x:c r="Q20" s="269" t="n">
        <x:f>(O20+P20)*(('Assumptions'!D29/1000000)*'Assumptions'!D27+('Assumptions'!D30/1000000)*'Assumptions'!D28)*'Assumptions'!D31</x:f>
        <x:v>0.9381613789756605</x:v>
      </x:c>
      <x:c r="R20" s="267" t="n">
        <x:f>(C20+D20)*('Assumptions'!D6*'Assumptions'!D34+'Assumptions'!D7*'Assumptions'!D35+'Assumptions'!D8*'Assumptions'!D36)</x:f>
        <x:v>19.680774638349344</x:v>
      </x:c>
      <x:c r="S20" s="268" t="n">
        <x:f>R20*(('Assumptions'!D32/1000000)*'Assumptions'!D27+('Assumptions'!D33/1000000)*'Assumptions'!D28)</x:f>
        <x:v>0.10332406685133406</x:v>
      </x:c>
      <x:c r="T20" s="268" t="n">
        <x:f>SUM(Q20,S20)</x:f>
        <x:v>1.0414854458269946</x:v>
      </x:c>
      <x:c r="U20" s="268" t="n">
        <x:f>K20*('Assumptions'!D37+'Assumptions'!D39)+(I20+J20)*'Assumptions'!D38+L20*'Assumptions'!D37+(H20*'Assumptions'!D17+I20*'Assumptions'!D18+J20*'Assumptions'!D19)*'Assumptions'!D38+M20*'Assumptions'!D37+O20*'Assumptions'!D38</x:f>
        <x:v>103.42248922837342</x:v>
      </x:c>
      <x:c r="V20" s="268" t="n">
        <x:f>'Assumptions'!D11</x:f>
        <x:v>250</x:v>
      </x:c>
      <x:c r="W20" s="268" t="n">
        <x:f>'Assumptions'!D12</x:f>
        <x:v>250</x:v>
      </x:c>
      <x:c r="X20" s="268" t="n">
        <x:f>SUM(T20:W20)</x:f>
        <x:v>604.4639746742005</x:v>
      </x:c>
      <x:c r="Y20" s="268" t="n">
        <x:f>N20-X20</x:f>
        <x:v>1038.9108849880295</x:v>
      </x:c>
      <x:c r="Z20" s="270" t="n">
        <x:f>IF(N20=0,0,Y20/N20)</x:f>
        <x:v>0.6321813181452474</x:v>
      </x:c>
      <x:c r="AA20" s="268" t="n">
        <x:f>AA19+Y20</x:f>
        <x:v>15911.24497700324</x:v>
      </x:c>
      <x:c r="AB20" s="268" t="n">
        <x:f>IF(G20=0,0,N20/G20)</x:f>
        <x:v>3.0797760000000003</x:v>
      </x:c>
    </x:row>
    <x:row r="21">
      <x:c r="A21" s="204" t="str">
        <x:v>Dec 2027</x:v>
      </x:c>
      <x:c r="B21" s="267" t="n">
        <x:f>F20</x:f>
        <x:v>534.5252849259381</x:v>
      </x:c>
      <x:c r="C21" s="267" t="n">
        <x:f>'Assumptions'!D12/'Assumptions'!D13</x:f>
        <x:v>12.5</x:v>
      </x:c>
      <x:c r="D21" s="267" t="n">
        <x:f>B21*'Assumptions'!D14</x:f>
        <x:v>5.3452528492593805</x:v>
      </x:c>
      <x:c r="E21" s="267" t="n">
        <x:f>B21*'Assumptions'!D15</x:f>
        <x:v>16.03575854777814</x:v>
      </x:c>
      <x:c r="F21" s="267" t="n">
        <x:f>B21+C21+D21-E21</x:f>
        <x:v>536.3347792274193</x:v>
      </x:c>
      <x:c r="G21" s="267" t="n">
        <x:f>(B21+F21)/2</x:f>
        <x:v>535.4300320766787</x:v>
      </x:c>
      <x:c r="H21" s="267" t="n">
        <x:f>G21*'Assumptions'!D6</x:f>
        <x:v>428.344025661343</x:v>
      </x:c>
      <x:c r="I21" s="267" t="n">
        <x:f>G21*'Assumptions'!D7</x:f>
        <x:v>85.66880513226859</x:v>
      </x:c>
      <x:c r="J21" s="267" t="n">
        <x:f>G21*'Assumptions'!D8</x:f>
        <x:v>21.417201283067147</x:v>
      </x:c>
      <x:c r="K21" s="268" t="n">
        <x:f>I21*'Assumptions'!D9+J21*'Assumptions'!D10</x:f>
        <x:v>1283.9612169198754</x:v>
      </x:c>
      <x:c r="L21" s="268" t="n">
        <x:f>(H21*'Assumptions'!D17+I21*'Assumptions'!D18+J21*'Assumptions'!D19)*'Assumptions'!D16</x:f>
        <x:v>185.25879109853082</x:v>
      </x:c>
      <x:c r="M21" s="268" t="n">
        <x:f>H21*'Assumptions'!D23*'Assumptions'!D20+I21*'Assumptions'!D24*'Assumptions'!D20*(1-'Assumptions'!D21)+J21*'Assumptions'!D25*'Assumptions'!D20*(1-'Assumptions'!D22)</x:f>
        <x:v>179.7845544505789</x:v>
      </x:c>
      <x:c r="N21" s="268" t="n">
        <x:f>SUM(K21:M21)</x:f>
        <x:v>1649.0045624689851</x:v>
      </x:c>
      <x:c r="O21" s="267" t="n">
        <x:f>H21*'Assumptions'!D23+I21*'Assumptions'!D24+J21*'Assumptions'!D25</x:f>
        <x:v>12.421976744178945</x:v>
      </x:c>
      <x:c r="P21" s="267" t="n">
        <x:f>J21*'Assumptions'!D26</x:f>
        <x:v>7.139067094355715</x:v>
      </x:c>
      <x:c r="Q21" s="269" t="n">
        <x:f>(O21+P21)*(('Assumptions'!D29/1000000)*'Assumptions'!D27+('Assumptions'!D30/1000000)*'Assumptions'!D28)*'Assumptions'!D31</x:f>
        <x:v>0.9413752347294805</x:v>
      </x:c>
      <x:c r="R21" s="267" t="n">
        <x:f>(C21+D21)*('Assumptions'!D6*'Assumptions'!D34+'Assumptions'!D7*'Assumptions'!D35+'Assumptions'!D8*'Assumptions'!D36)</x:f>
        <x:v>19.70115914558236</x:v>
      </x:c>
      <x:c r="S21" s="268" t="n">
        <x:f>R21*(('Assumptions'!D32/1000000)*'Assumptions'!D27+('Assumptions'!D33/1000000)*'Assumptions'!D28)</x:f>
        <x:v>0.1034310855143074</x:v>
      </x:c>
      <x:c r="T21" s="268" t="n">
        <x:f>SUM(Q21,S21)</x:f>
        <x:v>1.0448063202437878</x:v>
      </x:c>
      <x:c r="U21" s="268" t="n">
        <x:f>K21*('Assumptions'!D37+'Assumptions'!D39)+(I21+J21)*'Assumptions'!D38+L21*'Assumptions'!D37+(H21*'Assumptions'!D17+I21*'Assumptions'!D18+J21*'Assumptions'!D19)*'Assumptions'!D38+M21*'Assumptions'!D37+O21*'Assumptions'!D38</x:f>
        <x:v>103.77678324380597</x:v>
      </x:c>
      <x:c r="V21" s="268" t="n">
        <x:f>'Assumptions'!D11</x:f>
        <x:v>250</x:v>
      </x:c>
      <x:c r="W21" s="268" t="n">
        <x:f>'Assumptions'!D12</x:f>
        <x:v>250</x:v>
      </x:c>
      <x:c r="X21" s="268" t="n">
        <x:f>SUM(T21:W21)</x:f>
        <x:v>604.8215895640498</x:v>
      </x:c>
      <x:c r="Y21" s="268" t="n">
        <x:f>N21-X21</x:f>
        <x:v>1044.1829729049355</x:v>
      </x:c>
      <x:c r="Z21" s="270" t="n">
        <x:f>IF(N21=0,0,Y21/N21)</x:f>
        <x:v>0.6332201842677283</x:v>
      </x:c>
      <x:c r="AA21" s="268" t="n">
        <x:f>AA20+Y21</x:f>
        <x:v>16955.427949908175</x:v>
      </x:c>
      <x:c r="AB21" s="268" t="n">
        <x:f>IF(G21=0,0,N21/G21)</x:f>
        <x:v>3.079776</x:v>
      </x:c>
    </x:row>
    <x:row r="22">
      <x:c r="A22" s="209" t="str">
        <x:v>Jan 2028</x:v>
      </x:c>
      <x:c r="B22" s="271" t="n">
        <x:f>F21</x:f>
        <x:v>536.3347792274193</x:v>
      </x:c>
      <x:c r="C22" s="271" t="n">
        <x:f>'Assumptions'!D12/'Assumptions'!D13</x:f>
        <x:v>12.5</x:v>
      </x:c>
      <x:c r="D22" s="271" t="n">
        <x:f>B22*'Assumptions'!D14</x:f>
        <x:v>5.363347792274193</x:v>
      </x:c>
      <x:c r="E22" s="271" t="n">
        <x:f>B22*'Assumptions'!D15</x:f>
        <x:v>16.090043376822578</x:v>
      </x:c>
      <x:c r="F22" s="271" t="n">
        <x:f>B22+C22+D22-E22</x:f>
        <x:v>538.108083642871</x:v>
      </x:c>
      <x:c r="G22" s="271" t="n">
        <x:f>(B22+F22)/2</x:f>
        <x:v>537.2214314351452</x:v>
      </x:c>
      <x:c r="H22" s="271" t="n">
        <x:f>G22*'Assumptions'!D6</x:f>
        <x:v>429.7771451481162</x:v>
      </x:c>
      <x:c r="I22" s="271" t="n">
        <x:f>G22*'Assumptions'!D7</x:f>
        <x:v>85.95542902962323</x:v>
      </x:c>
      <x:c r="J22" s="271" t="n">
        <x:f>G22*'Assumptions'!D8</x:f>
        <x:v>21.488857257405808</x:v>
      </x:c>
      <x:c r="K22" s="272" t="n">
        <x:f>I22*'Assumptions'!D9+J22*'Assumptions'!D10</x:f>
        <x:v>1288.2569925814782</x:v>
      </x:c>
      <x:c r="L22" s="272" t="n">
        <x:f>(H22*'Assumptions'!D17+I22*'Assumptions'!D18+J22*'Assumptions'!D19)*'Assumptions'!D16</x:f>
        <x:v>185.87861527656028</x:v>
      </x:c>
      <x:c r="M22" s="272" t="n">
        <x:f>H22*'Assumptions'!D23*'Assumptions'!D20+I22*'Assumptions'!D24*'Assumptions'!D20*(1-'Assumptions'!D21)+J22*'Assumptions'!D25*'Assumptions'!D20*(1-'Assumptions'!D22)</x:f>
        <x:v>180.38606336156732</x:v>
      </x:c>
      <x:c r="N22" s="272" t="n">
        <x:f>SUM(K22:M22)</x:f>
        <x:v>1654.5216712196059</x:v>
      </x:c>
      <x:c r="O22" s="271" t="n">
        <x:f>H22*'Assumptions'!D23+I22*'Assumptions'!D24+J22*'Assumptions'!D25</x:f>
        <x:v>12.463537209295367</x:v>
      </x:c>
      <x:c r="P22" s="271" t="n">
        <x:f>J22*'Assumptions'!D26</x:f>
        <x:v>7.162952419135269</x:v>
      </x:c>
      <x:c r="Q22" s="273" t="n">
        <x:f>(O22+P22)*(('Assumptions'!D29/1000000)*'Assumptions'!D27+('Assumptions'!D30/1000000)*'Assumptions'!D28)*'Assumptions'!D31</x:f>
        <x:v>0.9445248133682245</x:v>
      </x:c>
      <x:c r="R22" s="271" t="n">
        <x:f>(C22+D22)*('Assumptions'!D6*'Assumptions'!D34+'Assumptions'!D7*'Assumptions'!D35+'Assumptions'!D8*'Assumptions'!D36)</x:f>
        <x:v>19.72113596267071</x:v>
      </x:c>
      <x:c r="S22" s="272" t="n">
        <x:f>R22*(('Assumptions'!D32/1000000)*'Assumptions'!D27+('Assumptions'!D33/1000000)*'Assumptions'!D28)</x:f>
        <x:v>0.10353596380402125</x:v>
      </x:c>
      <x:c r="T22" s="272" t="n">
        <x:f>SUM(Q22,S22)</x:f>
        <x:v>1.0480607771722457</x:v>
      </x:c>
      <x:c r="U22" s="272" t="n">
        <x:f>K22*('Assumptions'!D37+'Assumptions'!D39)+(I22+J22)*'Assumptions'!D38+L22*'Assumptions'!D37+(H22*'Assumptions'!D17+I22*'Assumptions'!D18+J22*'Assumptions'!D19)*'Assumptions'!D38+M22*'Assumptions'!D37+O22*'Assumptions'!D38</x:f>
        <x:v>104.12399137892987</x:v>
      </x:c>
      <x:c r="V22" s="272" t="n">
        <x:f>'Assumptions'!D11</x:f>
        <x:v>250</x:v>
      </x:c>
      <x:c r="W22" s="272" t="n">
        <x:f>'Assumptions'!D12</x:f>
        <x:v>250</x:v>
      </x:c>
      <x:c r="X22" s="272" t="n">
        <x:f>SUM(T22:W22)</x:f>
        <x:v>605.1720521561022</x:v>
      </x:c>
      <x:c r="Y22" s="272" t="n">
        <x:f>N22-X22</x:f>
        <x:v>1049.3496190635037</x:v>
      </x:c>
      <x:c r="Z22" s="274" t="n">
        <x:f>IF(N22=0,0,Y22/N22)</x:f>
        <x:v>0.634231414019492</x:v>
      </x:c>
      <x:c r="AA22" s="272" t="n">
        <x:f>AA21+Y22</x:f>
        <x:v>18004.77756897168</x:v>
      </x:c>
      <x:c r="AB22" s="272" t="n">
        <x:f>IF(G22=0,0,N22/G22)</x:f>
        <x:v>3.0797760000000003</x:v>
      </x:c>
    </x:row>
  </x:sheetData>
  <x:mergeCells>
    <x:mergeCell ref="A1:AB1"/>
    <x:mergeCell ref="A2:AB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31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4" customHeight="1">
      <x:c r="A1" s="183" t="str">
        <x:v>Scenario Analysis</x:v>
      </x:c>
      <x:c r="B1" s="183"/>
      <x:c r="C1" s="183"/>
      <x:c r="D1" s="183"/>
      <x:c r="E1" s="183"/>
      <x:c r="F1" s="183"/>
      <x:c r="G1" s="183"/>
      <x:c r="H1" s="183"/>
      <x:c r="I1" s="183"/>
      <x:c r="J1" s="183"/>
      <x:c r="K1" s="185"/>
      <x:c r="L1" s="185"/>
      <x:c r="M1" s="185"/>
      <x:c r="N1" s="185"/>
      <x:c r="O1" s="185"/>
      <x:c r="P1" s="185"/>
      <x:c r="Q1" s="185"/>
      <x:c r="R1" s="185"/>
      <x:c r="S1" s="185"/>
      <x:c r="T1" s="185"/>
      <x:c r="U1" s="185"/>
      <x:c r="V1" s="185"/>
      <x:c r="W1" s="185"/>
      <x:c r="X1" s="185"/>
      <x:c r="Y1" s="185"/>
      <x:c r="Z1" s="185"/>
      <x:c r="AA1" s="185"/>
      <x:c r="AB1" s="185"/>
      <x:c r="AC1" s="185"/>
      <x:c r="AD1" s="185"/>
      <x:c r="AE1" s="185"/>
      <x:c r="AF1" s="185"/>
      <x:c r="AG1" s="185"/>
      <x:c r="AH1" s="185"/>
      <x:c r="AI1" s="185"/>
      <x:c r="AJ1" s="185"/>
      <x:c r="AK1" s="185"/>
      <x:c r="AL1" s="185"/>
      <x:c r="AM1" s="185"/>
      <x:c r="AN1" s="185"/>
      <x:c r="AO1" s="185"/>
    </x:row>
    <x:row r="2" ht="28" customHeight="1">
      <x:c r="A2" s="184" t="str">
        <x:v>Conservative, Base, and Upside cases vary tier mix, paid CAC, organic additions, and churn. Prices, purchase rates, model usage, and fixed costs remain unchanged so the sensitivity is easy to audit.</x:v>
      </x:c>
      <x:c r="B2" s="184"/>
      <x:c r="C2" s="184"/>
      <x:c r="D2" s="184"/>
      <x:c r="E2" s="184"/>
      <x:c r="F2" s="184"/>
      <x:c r="G2" s="184"/>
      <x:c r="H2" s="184"/>
      <x:c r="I2" s="184"/>
      <x:c r="J2" s="184"/>
      <x:c r="K2" s="185"/>
      <x:c r="L2" s="185"/>
      <x:c r="M2" s="185"/>
      <x:c r="N2" s="185"/>
      <x:c r="O2" s="185"/>
      <x:c r="P2" s="185"/>
      <x:c r="Q2" s="185"/>
      <x:c r="R2" s="185"/>
      <x:c r="S2" s="185"/>
      <x:c r="T2" s="185"/>
      <x:c r="U2" s="185"/>
      <x:c r="V2" s="185"/>
      <x:c r="W2" s="185"/>
      <x:c r="X2" s="185"/>
      <x:c r="Y2" s="185"/>
      <x:c r="Z2" s="185"/>
      <x:c r="AA2" s="185"/>
      <x:c r="AB2" s="185"/>
      <x:c r="AC2" s="185"/>
      <x:c r="AD2" s="185"/>
      <x:c r="AE2" s="185"/>
      <x:c r="AF2" s="185"/>
      <x:c r="AG2" s="185"/>
      <x:c r="AH2" s="185"/>
      <x:c r="AI2" s="185"/>
      <x:c r="AJ2" s="185"/>
      <x:c r="AK2" s="185"/>
      <x:c r="AL2" s="185"/>
      <x:c r="AM2" s="185"/>
      <x:c r="AN2" s="185"/>
      <x:c r="AO2" s="185"/>
    </x:row>
    <x:row r="3">
      <x:c r="A3" s="185"/>
      <x:c r="B3" s="185"/>
      <x:c r="C3" s="185"/>
      <x:c r="D3" s="185"/>
      <x:c r="E3" s="185"/>
      <x:c r="F3" s="185"/>
      <x:c r="G3" s="185"/>
      <x:c r="H3" s="185"/>
      <x:c r="I3" s="185"/>
      <x:c r="J3" s="185"/>
      <x:c r="K3" s="185"/>
      <x:c r="L3" s="185"/>
      <x:c r="M3" s="185"/>
      <x:c r="N3" s="185"/>
      <x:c r="O3" s="185"/>
      <x:c r="P3" s="185"/>
      <x:c r="Q3" s="185"/>
      <x:c r="R3" s="185"/>
      <x:c r="S3" s="185"/>
      <x:c r="T3" s="185"/>
      <x:c r="U3" s="185"/>
      <x:c r="V3" s="185"/>
      <x:c r="W3" s="185"/>
      <x:c r="X3" s="185"/>
      <x:c r="Y3" s="185"/>
      <x:c r="Z3" s="185"/>
      <x:c r="AA3" s="185"/>
      <x:c r="AB3" s="185"/>
      <x:c r="AC3" s="185"/>
      <x:c r="AD3" s="185"/>
      <x:c r="AE3" s="185"/>
      <x:c r="AF3" s="185"/>
      <x:c r="AG3" s="185"/>
      <x:c r="AH3" s="185"/>
      <x:c r="AI3" s="185"/>
      <x:c r="AJ3" s="185"/>
      <x:c r="AK3" s="185"/>
      <x:c r="AL3" s="185"/>
      <x:c r="AM3" s="185"/>
      <x:c r="AN3" s="185"/>
      <x:c r="AO3" s="185"/>
    </x:row>
    <x:row r="4">
      <x:c r="A4" s="186" t="str">
        <x:v>Scenario</x:v>
      </x:c>
      <x:c r="B4" s="187" t="str">
        <x:v>Tier mix (Free / Personal / Premium)</x:v>
      </x:c>
      <x:c r="C4" s="187" t="str">
        <x:v>Month 18 closing users</x:v>
      </x:c>
      <x:c r="D4" s="187" t="str">
        <x:v>18M revenue</x:v>
      </x:c>
      <x:c r="E4" s="187" t="str">
        <x:v>18M AI cost</x:v>
      </x:c>
      <x:c r="F4" s="187" t="str">
        <x:v>18M payment fees</x:v>
      </x:c>
      <x:c r="G4" s="187" t="str">
        <x:v>18M fixed costs</x:v>
      </x:c>
      <x:c r="H4" s="187" t="str">
        <x:v>18M contribution</x:v>
      </x:c>
      <x:c r="I4" s="187" t="str">
        <x:v>18M margin</x:v>
      </x:c>
      <x:c r="J4" s="188" t="str">
        <x:v>Month 18 contribution</x:v>
      </x:c>
      <x:c r="K4" s="185"/>
      <x:c r="L4" s="185"/>
      <x:c r="M4" s="185"/>
      <x:c r="N4" s="185"/>
      <x:c r="O4" s="185"/>
      <x:c r="P4" s="185"/>
      <x:c r="Q4" s="185"/>
      <x:c r="R4" s="185"/>
      <x:c r="S4" s="185"/>
      <x:c r="T4" s="185"/>
      <x:c r="U4" s="185"/>
      <x:c r="V4" s="185"/>
      <x:c r="W4" s="185"/>
      <x:c r="X4" s="185"/>
      <x:c r="Y4" s="185"/>
      <x:c r="Z4" s="185"/>
      <x:c r="AA4" s="185"/>
      <x:c r="AB4" s="185"/>
      <x:c r="AC4" s="185"/>
      <x:c r="AD4" s="185"/>
      <x:c r="AE4" s="185"/>
      <x:c r="AF4" s="185"/>
      <x:c r="AG4" s="185"/>
      <x:c r="AH4" s="185"/>
      <x:c r="AI4" s="185"/>
      <x:c r="AJ4" s="185"/>
      <x:c r="AK4" s="185"/>
      <x:c r="AL4" s="185"/>
      <x:c r="AM4" s="185"/>
      <x:c r="AN4" s="185"/>
      <x:c r="AO4" s="185"/>
    </x:row>
    <x:row r="5">
      <x:c r="A5" s="199" t="str">
        <x:v>Conservative</x:v>
      </x:c>
      <x:c r="B5" s="199" t="str">
        <x:v>85% / 12% / 3%</x:v>
      </x:c>
      <x:c r="C5" s="275" t="n">
        <x:f>F28</x:f>
        <x:v>398.5599452701836</x:v>
      </x:c>
      <x:c r="D5" s="276" t="n">
        <x:f>SUM(H11:H28)</x:f>
        <x:v>19854.46270529739</x:v>
      </x:c>
      <x:c r="E5" s="276" t="n">
        <x:f>SUM(J11:J28)</x:f>
        <x:v>13.705323519793643</x:v>
      </x:c>
      <x:c r="F5" s="276" t="n">
        <x:f>SUM(K11:K28)</x:f>
        <x:v>1261.9930701540902</x:v>
      </x:c>
      <x:c r="G5" s="276" t="n">
        <x:f>('Assumptions'!C11+'Assumptions'!C12)*'Assumptions'!C40</x:f>
        <x:v>9000</x:v>
      </x:c>
      <x:c r="H5" s="276" t="n">
        <x:f>SUM(M11:M28)</x:f>
        <x:v>9578.764311623505</x:v>
      </x:c>
      <x:c r="I5" s="266" t="n">
        <x:f>IF(D5=0,0,H5/D5)</x:f>
        <x:v>0.48244893119509025</x:v>
      </x:c>
      <x:c r="J5" s="276" t="n">
        <x:f>M28</x:f>
        <x:v>431.4558205576967</x:v>
      </x:c>
      <x:c r="K5" s="185"/>
      <x:c r="L5" s="185"/>
      <x:c r="M5" s="185"/>
      <x:c r="N5" s="185"/>
      <x:c r="O5" s="185"/>
      <x:c r="P5" s="185"/>
      <x:c r="Q5" s="185"/>
      <x:c r="R5" s="185"/>
      <x:c r="S5" s="185"/>
      <x:c r="T5" s="185"/>
      <x:c r="U5" s="185"/>
      <x:c r="V5" s="185"/>
      <x:c r="W5" s="185"/>
      <x:c r="X5" s="185"/>
      <x:c r="Y5" s="185"/>
      <x:c r="Z5" s="185"/>
      <x:c r="AA5" s="185"/>
      <x:c r="AB5" s="185"/>
      <x:c r="AC5" s="185"/>
      <x:c r="AD5" s="185"/>
      <x:c r="AE5" s="185"/>
      <x:c r="AF5" s="185"/>
      <x:c r="AG5" s="185"/>
      <x:c r="AH5" s="185"/>
      <x:c r="AI5" s="185"/>
      <x:c r="AJ5" s="185"/>
      <x:c r="AK5" s="185"/>
      <x:c r="AL5" s="185"/>
      <x:c r="AM5" s="185"/>
      <x:c r="AN5" s="185"/>
      <x:c r="AO5" s="185"/>
    </x:row>
    <x:row r="6">
      <x:c r="A6" s="204" t="str">
        <x:v>Base</x:v>
      </x:c>
      <x:c r="B6" s="204" t="str">
        <x:v>80% / 16% / 4%</x:v>
      </x:c>
      <x:c r="C6" s="277" t="n">
        <x:f>T28</x:f>
        <x:v>538.108083642871</x:v>
      </x:c>
      <x:c r="D6" s="278" t="n">
        <x:f>SUM(V11:V28)</x:f>
        <x:v>28837.944110239336</x:v>
      </x:c>
      <x:c r="E6" s="278" t="n">
        <x:f>SUM(X11:X28)</x:f>
        <x:v>18.308569835226642</x:v>
      </x:c>
      <x:c r="F6" s="278" t="n">
        <x:f>SUM(Y11:Y28)</x:f>
        <x:v>1814.8579714324392</x:v>
      </x:c>
      <x:c r="G6" s="278" t="n">
        <x:f>('Assumptions'!D11+'Assumptions'!D12)*'Assumptions'!D40</x:f>
        <x:v>9000</x:v>
      </x:c>
      <x:c r="H6" s="278" t="n">
        <x:f>SUM(AA11:AA28)</x:f>
        <x:v>18004.77756897168</x:v>
      </x:c>
      <x:c r="I6" s="270" t="n">
        <x:f>IF(D6=0,0,H6/D6)</x:f>
        <x:v>0.6243433131066656</x:v>
      </x:c>
      <x:c r="J6" s="278" t="n">
        <x:f>AA28</x:f>
        <x:v>1049.349619063504</x:v>
      </x:c>
      <x:c r="K6" s="185"/>
      <x:c r="L6" s="185"/>
      <x:c r="M6" s="185"/>
      <x:c r="N6" s="185"/>
      <x:c r="O6" s="185"/>
      <x:c r="P6" s="185"/>
      <x:c r="Q6" s="185"/>
      <x:c r="R6" s="185"/>
      <x:c r="S6" s="185"/>
      <x:c r="T6" s="185"/>
      <x:c r="U6" s="185"/>
      <x:c r="V6" s="185"/>
      <x:c r="W6" s="185"/>
      <x:c r="X6" s="185"/>
      <x:c r="Y6" s="185"/>
      <x:c r="Z6" s="185"/>
      <x:c r="AA6" s="185"/>
      <x:c r="AB6" s="185"/>
      <x:c r="AC6" s="185"/>
      <x:c r="AD6" s="185"/>
      <x:c r="AE6" s="185"/>
      <x:c r="AF6" s="185"/>
      <x:c r="AG6" s="185"/>
      <x:c r="AH6" s="185"/>
      <x:c r="AI6" s="185"/>
      <x:c r="AJ6" s="185"/>
      <x:c r="AK6" s="185"/>
      <x:c r="AL6" s="185"/>
      <x:c r="AM6" s="185"/>
      <x:c r="AN6" s="185"/>
      <x:c r="AO6" s="185"/>
    </x:row>
    <x:row r="7">
      <x:c r="A7" s="218" t="str">
        <x:v>Upside</x:v>
      </x:c>
      <x:c r="B7" s="218" t="str">
        <x:v>70% / 23% / 7%</x:v>
      </x:c>
      <x:c r="C7" s="279" t="n">
        <x:f>AH28</x:f>
        <x:v>693.0672783082306</x:v>
      </x:c>
      <x:c r="D7" s="280" t="n">
        <x:f>SUM(AJ11:AJ28)</x:f>
        <x:v>47105.76734461399</x:v>
      </x:c>
      <x:c r="E7" s="280" t="n">
        <x:f>SUM(AL11:AL28)</x:f>
        <x:v>27.698498726630497</x:v>
      </x:c>
      <x:c r="F7" s="280" t="n">
        <x:f>SUM(AM11:AM28)</x:f>
        <x:v>2901.8774219458323</x:v>
      </x:c>
      <x:c r="G7" s="280" t="n">
        <x:f>('Assumptions'!E11+'Assumptions'!E12)*'Assumptions'!E40</x:f>
        <x:v>9000</x:v>
      </x:c>
      <x:c r="H7" s="280" t="n">
        <x:f>SUM(AO11:AO28)</x:f>
        <x:v>35176.19142394153</x:v>
      </x:c>
      <x:c r="I7" s="281" t="n">
        <x:f>IF(D7=0,0,H7/D7)</x:f>
        <x:v>0.7467491436155009</x:v>
      </x:c>
      <x:c r="J7" s="280" t="n">
        <x:f>AO28</x:f>
        <x:v>2317.475370198961</x:v>
      </x:c>
      <x:c r="K7" s="185"/>
      <x:c r="L7" s="185"/>
      <x:c r="M7" s="185"/>
      <x:c r="N7" s="185"/>
      <x:c r="O7" s="185"/>
      <x:c r="P7" s="185"/>
      <x:c r="Q7" s="185"/>
      <x:c r="R7" s="185"/>
      <x:c r="S7" s="185"/>
      <x:c r="T7" s="185"/>
      <x:c r="U7" s="185"/>
      <x:c r="V7" s="185"/>
      <x:c r="W7" s="185"/>
      <x:c r="X7" s="185"/>
      <x:c r="Y7" s="185"/>
      <x:c r="Z7" s="185"/>
      <x:c r="AA7" s="185"/>
      <x:c r="AB7" s="185"/>
      <x:c r="AC7" s="185"/>
      <x:c r="AD7" s="185"/>
      <x:c r="AE7" s="185"/>
      <x:c r="AF7" s="185"/>
      <x:c r="AG7" s="185"/>
      <x:c r="AH7" s="185"/>
      <x:c r="AI7" s="185"/>
      <x:c r="AJ7" s="185"/>
      <x:c r="AK7" s="185"/>
      <x:c r="AL7" s="185"/>
      <x:c r="AM7" s="185"/>
      <x:c r="AN7" s="185"/>
      <x:c r="AO7" s="185"/>
    </x:row>
    <x:row r="8">
      <x:c r="A8" s="185"/>
      <x:c r="B8" s="185"/>
      <x:c r="C8" s="185"/>
      <x:c r="D8" s="185"/>
      <x:c r="E8" s="185"/>
      <x:c r="F8" s="185"/>
      <x:c r="G8" s="185"/>
      <x:c r="H8" s="185"/>
      <x:c r="I8" s="185"/>
      <x:c r="J8" s="185"/>
      <x:c r="K8" s="185"/>
      <x:c r="L8" s="185"/>
      <x:c r="M8" s="185"/>
      <x:c r="N8" s="185"/>
      <x:c r="O8" s="185"/>
      <x:c r="P8" s="185"/>
      <x:c r="Q8" s="185"/>
      <x:c r="R8" s="185"/>
      <x:c r="S8" s="185"/>
      <x:c r="T8" s="185"/>
      <x:c r="U8" s="185"/>
      <x:c r="V8" s="185"/>
      <x:c r="W8" s="185"/>
      <x:c r="X8" s="185"/>
      <x:c r="Y8" s="185"/>
      <x:c r="Z8" s="185"/>
      <x:c r="AA8" s="185"/>
      <x:c r="AB8" s="185"/>
      <x:c r="AC8" s="185"/>
      <x:c r="AD8" s="185"/>
      <x:c r="AE8" s="185"/>
      <x:c r="AF8" s="185"/>
      <x:c r="AG8" s="185"/>
      <x:c r="AH8" s="185"/>
      <x:c r="AI8" s="185"/>
      <x:c r="AJ8" s="185"/>
      <x:c r="AK8" s="185"/>
      <x:c r="AL8" s="185"/>
      <x:c r="AM8" s="185"/>
      <x:c r="AN8" s="185"/>
      <x:c r="AO8" s="185"/>
    </x:row>
    <x:row r="9">
      <x:c r="A9" s="222" t="str">
        <x:v>Conservative monthly detail</x:v>
      </x:c>
      <x:c r="B9" s="222" t="str">
        <x:v>Conservative monthly detail</x:v>
      </x:c>
      <x:c r="C9" s="222" t="str">
        <x:v>Conservative monthly detail</x:v>
      </x:c>
      <x:c r="D9" s="222" t="str">
        <x:v>Conservative monthly detail</x:v>
      </x:c>
      <x:c r="E9" s="222" t="str">
        <x:v>Conservative monthly detail</x:v>
      </x:c>
      <x:c r="F9" s="222" t="str">
        <x:v>Conservative monthly detail</x:v>
      </x:c>
      <x:c r="G9" s="222" t="str">
        <x:v>Conservative monthly detail</x:v>
      </x:c>
      <x:c r="H9" s="222" t="str">
        <x:v>Conservative monthly detail</x:v>
      </x:c>
      <x:c r="I9" s="222" t="str">
        <x:v>Conservative monthly detail</x:v>
      </x:c>
      <x:c r="J9" s="222" t="str">
        <x:v>Conservative monthly detail</x:v>
      </x:c>
      <x:c r="K9" s="222" t="str">
        <x:v>Conservative monthly detail</x:v>
      </x:c>
      <x:c r="L9" s="222" t="str">
        <x:v>Conservative monthly detail</x:v>
      </x:c>
      <x:c r="M9" s="222" t="str">
        <x:v>Conservative monthly detail</x:v>
      </x:c>
      <x:c r="N9" s="185"/>
      <x:c r="O9" s="222" t="str">
        <x:v>Base monthly detail</x:v>
      </x:c>
      <x:c r="P9" s="222" t="str">
        <x:v>Base monthly detail</x:v>
      </x:c>
      <x:c r="Q9" s="222" t="str">
        <x:v>Base monthly detail</x:v>
      </x:c>
      <x:c r="R9" s="222" t="str">
        <x:v>Base monthly detail</x:v>
      </x:c>
      <x:c r="S9" s="222" t="str">
        <x:v>Base monthly detail</x:v>
      </x:c>
      <x:c r="T9" s="222" t="str">
        <x:v>Base monthly detail</x:v>
      </x:c>
      <x:c r="U9" s="222" t="str">
        <x:v>Base monthly detail</x:v>
      </x:c>
      <x:c r="V9" s="222" t="str">
        <x:v>Base monthly detail</x:v>
      </x:c>
      <x:c r="W9" s="222" t="str">
        <x:v>Base monthly detail</x:v>
      </x:c>
      <x:c r="X9" s="222" t="str">
        <x:v>Base monthly detail</x:v>
      </x:c>
      <x:c r="Y9" s="222" t="str">
        <x:v>Base monthly detail</x:v>
      </x:c>
      <x:c r="Z9" s="222" t="str">
        <x:v>Base monthly detail</x:v>
      </x:c>
      <x:c r="AA9" s="222" t="str">
        <x:v>Base monthly detail</x:v>
      </x:c>
      <x:c r="AB9" s="185"/>
      <x:c r="AC9" s="222" t="str">
        <x:v>Upside monthly detail</x:v>
      </x:c>
      <x:c r="AD9" s="222" t="str">
        <x:v>Upside monthly detail</x:v>
      </x:c>
      <x:c r="AE9" s="222" t="str">
        <x:v>Upside monthly detail</x:v>
      </x:c>
      <x:c r="AF9" s="222" t="str">
        <x:v>Upside monthly detail</x:v>
      </x:c>
      <x:c r="AG9" s="222" t="str">
        <x:v>Upside monthly detail</x:v>
      </x:c>
      <x:c r="AH9" s="222" t="str">
        <x:v>Upside monthly detail</x:v>
      </x:c>
      <x:c r="AI9" s="222" t="str">
        <x:v>Upside monthly detail</x:v>
      </x:c>
      <x:c r="AJ9" s="222" t="str">
        <x:v>Upside monthly detail</x:v>
      </x:c>
      <x:c r="AK9" s="222" t="str">
        <x:v>Upside monthly detail</x:v>
      </x:c>
      <x:c r="AL9" s="222" t="str">
        <x:v>Upside monthly detail</x:v>
      </x:c>
      <x:c r="AM9" s="222" t="str">
        <x:v>Upside monthly detail</x:v>
      </x:c>
      <x:c r="AN9" s="222" t="str">
        <x:v>Upside monthly detail</x:v>
      </x:c>
      <x:c r="AO9" s="222" t="str">
        <x:v>Upside monthly detail</x:v>
      </x:c>
    </x:row>
    <x:row r="10">
      <x:c r="A10" s="186" t="str">
        <x:v>Month</x:v>
      </x:c>
      <x:c r="B10" s="187" t="str">
        <x:v>Opening</x:v>
      </x:c>
      <x:c r="C10" s="187" t="str">
        <x:v>Paid adds</x:v>
      </x:c>
      <x:c r="D10" s="187" t="str">
        <x:v>Organic adds</x:v>
      </x:c>
      <x:c r="E10" s="187" t="str">
        <x:v>Churned</x:v>
      </x:c>
      <x:c r="F10" s="187" t="str">
        <x:v>Closing</x:v>
      </x:c>
      <x:c r="G10" s="187" t="str">
        <x:v>Average active</x:v>
      </x:c>
      <x:c r="H10" s="187" t="str">
        <x:v>Revenue</x:v>
      </x:c>
      <x:c r="I10" s="187" t="str">
        <x:v>Paid reports</x:v>
      </x:c>
      <x:c r="J10" s="187" t="str">
        <x:v>AI cost</x:v>
      </x:c>
      <x:c r="K10" s="187" t="str">
        <x:v>Payment fees</x:v>
      </x:c>
      <x:c r="L10" s="187" t="str">
        <x:v>Total cost</x:v>
      </x:c>
      <x:c r="M10" s="188" t="str">
        <x:v>Contribution</x:v>
      </x:c>
      <x:c r="N10" s="185"/>
      <x:c r="O10" s="186" t="str">
        <x:v>Month</x:v>
      </x:c>
      <x:c r="P10" s="187" t="str">
        <x:v>Opening</x:v>
      </x:c>
      <x:c r="Q10" s="187" t="str">
        <x:v>Paid adds</x:v>
      </x:c>
      <x:c r="R10" s="187" t="str">
        <x:v>Organic adds</x:v>
      </x:c>
      <x:c r="S10" s="187" t="str">
        <x:v>Churned</x:v>
      </x:c>
      <x:c r="T10" s="187" t="str">
        <x:v>Closing</x:v>
      </x:c>
      <x:c r="U10" s="187" t="str">
        <x:v>Average active</x:v>
      </x:c>
      <x:c r="V10" s="187" t="str">
        <x:v>Revenue</x:v>
      </x:c>
      <x:c r="W10" s="187" t="str">
        <x:v>Paid reports</x:v>
      </x:c>
      <x:c r="X10" s="187" t="str">
        <x:v>AI cost</x:v>
      </x:c>
      <x:c r="Y10" s="187" t="str">
        <x:v>Payment fees</x:v>
      </x:c>
      <x:c r="Z10" s="187" t="str">
        <x:v>Total cost</x:v>
      </x:c>
      <x:c r="AA10" s="188" t="str">
        <x:v>Contribution</x:v>
      </x:c>
      <x:c r="AB10" s="185"/>
      <x:c r="AC10" s="186" t="str">
        <x:v>Month</x:v>
      </x:c>
      <x:c r="AD10" s="187" t="str">
        <x:v>Opening</x:v>
      </x:c>
      <x:c r="AE10" s="187" t="str">
        <x:v>Paid adds</x:v>
      </x:c>
      <x:c r="AF10" s="187" t="str">
        <x:v>Organic adds</x:v>
      </x:c>
      <x:c r="AG10" s="187" t="str">
        <x:v>Churned</x:v>
      </x:c>
      <x:c r="AH10" s="187" t="str">
        <x:v>Closing</x:v>
      </x:c>
      <x:c r="AI10" s="187" t="str">
        <x:v>Average active</x:v>
      </x:c>
      <x:c r="AJ10" s="187" t="str">
        <x:v>Revenue</x:v>
      </x:c>
      <x:c r="AK10" s="187" t="str">
        <x:v>Paid reports</x:v>
      </x:c>
      <x:c r="AL10" s="187" t="str">
        <x:v>AI cost</x:v>
      </x:c>
      <x:c r="AM10" s="187" t="str">
        <x:v>Payment fees</x:v>
      </x:c>
      <x:c r="AN10" s="187" t="str">
        <x:v>Total cost</x:v>
      </x:c>
      <x:c r="AO10" s="188" t="str">
        <x:v>Contribution</x:v>
      </x:c>
    </x:row>
    <x:row r="11">
      <x:c r="A11" s="199" t="str">
        <x:v>Aug 2026</x:v>
      </x:c>
      <x:c r="B11" s="200" t="n">
        <x:f>'Assumptions'!C5</x:f>
        <x:v>500</x:v>
      </x:c>
      <x:c r="C11" s="200" t="n">
        <x:f>'Assumptions'!C12/'Assumptions'!C13</x:f>
        <x:v>10</x:v>
      </x:c>
      <x:c r="D11" s="200" t="n">
        <x:f>B11*'Assumptions'!C14</x:f>
        <x:v>2.5</x:v>
      </x:c>
      <x:c r="E11" s="200" t="n">
        <x:f>B11*'Assumptions'!C15</x:f>
        <x:v>20</x:v>
      </x:c>
      <x:c r="F11" s="200" t="n">
        <x:f>B11+C11+D11-E11</x:f>
        <x:v>492.5</x:v>
      </x:c>
      <x:c r="G11" s="200" t="n">
        <x:f>(B11+F11)/2</x:f>
        <x:v>496.25</x:v>
      </x:c>
      <x:c r="H11" s="223" t="n">
        <x:f>G11*('Assumptions'!C7*'Assumptions'!C9+'Assumptions'!C8*'Assumptions'!C10)+(G11*'Assumptions'!C6*'Assumptions'!C17+G11*'Assumptions'!C7*'Assumptions'!C18+G11*'Assumptions'!C8*'Assumptions'!C19)*'Assumptions'!C16+G11*'Assumptions'!C6*'Assumptions'!C23*'Assumptions'!C20+G11*'Assumptions'!C7*'Assumptions'!C24*'Assumptions'!C20*(1-'Assumptions'!C21)+G11*'Assumptions'!C8*'Assumptions'!C25*'Assumptions'!C20*(1-'Assumptions'!C22)</x:f>
        <x:v>1233.0730675</x:v>
      </x:c>
      <x:c r="I11" s="200" t="n">
        <x:f>G11*('Assumptions'!C6*'Assumptions'!C23+'Assumptions'!C7*'Assumptions'!C24+'Assumptions'!C8*'Assumptions'!C25)</x:f>
        <x:v>11.116</x:v>
      </x:c>
      <x:c r="J11" s="201" t="n">
        <x:f>(I11+G11*'Assumptions'!C8*'Assumptions'!C26)*(('Assumptions'!C29/1000000)*'Assumptions'!C27+('Assumptions'!C30/1000000)*'Assumptions'!C28)*'Assumptions'!C31+(C11+D11)*('Assumptions'!C6*'Assumptions'!C34+'Assumptions'!C7*'Assumptions'!C35+'Assumptions'!C8*'Assumptions'!C36)*(('Assumptions'!C32/1000000)*'Assumptions'!C27+('Assumptions'!C33/1000000)*'Assumptions'!C28)</x:f>
        <x:v>0.8445215624999999</x:v>
      </x:c>
      <x:c r="K11" s="201" t="n">
        <x:f>(G11*('Assumptions'!C7*'Assumptions'!C9+'Assumptions'!C8*'Assumptions'!C10))*('Assumptions'!C37+'Assumptions'!C39)+G11*('Assumptions'!C7+'Assumptions'!C8)*'Assumptions'!C38+((G11*'Assumptions'!C6*'Assumptions'!C17+G11*'Assumptions'!C7*'Assumptions'!C18+G11*'Assumptions'!C8*'Assumptions'!C19)*'Assumptions'!C16)*'Assumptions'!C37+G11*('Assumptions'!C6*'Assumptions'!C17+'Assumptions'!C7*'Assumptions'!C18+'Assumptions'!C8*'Assumptions'!C19)*'Assumptions'!C38+(H11-G11*('Assumptions'!C7*'Assumptions'!C9+'Assumptions'!C8*'Assumptions'!C10)-(G11*'Assumptions'!C6*'Assumptions'!C17+G11*'Assumptions'!C7*'Assumptions'!C18+G11*'Assumptions'!C8*'Assumptions'!C19)*'Assumptions'!C16)*'Assumptions'!C37+I11*'Assumptions'!C38</x:f>
        <x:v>78.3768208325</x:v>
      </x:c>
      <x:c r="L11" s="201" t="n">
        <x:f>J11+K11+'Assumptions'!C11+'Assumptions'!C12</x:f>
        <x:v>579.221342395</x:v>
      </x:c>
      <x:c r="M11" s="201" t="n">
        <x:f>H11-L11</x:f>
        <x:v>653.851725105</x:v>
      </x:c>
      <x:c r="N11" s="185"/>
      <x:c r="O11" s="199" t="str">
        <x:v>Aug 2026</x:v>
      </x:c>
      <x:c r="P11" s="200" t="n">
        <x:f>'Assumptions'!D5</x:f>
        <x:v>500</x:v>
      </x:c>
      <x:c r="Q11" s="200" t="n">
        <x:f>'Assumptions'!D12/'Assumptions'!D13</x:f>
        <x:v>12.5</x:v>
      </x:c>
      <x:c r="R11" s="200" t="n">
        <x:f>P11*'Assumptions'!D14</x:f>
        <x:v>5</x:v>
      </x:c>
      <x:c r="S11" s="200" t="n">
        <x:f>P11*'Assumptions'!D15</x:f>
        <x:v>15</x:v>
      </x:c>
      <x:c r="T11" s="200" t="n">
        <x:f>P11+Q11+R11-S11</x:f>
        <x:v>502.5</x:v>
      </x:c>
      <x:c r="U11" s="200" t="n">
        <x:f>(P11+T11)/2</x:f>
        <x:v>501.25</x:v>
      </x:c>
      <x:c r="V11" s="223" t="n">
        <x:f>U11*('Assumptions'!D7*'Assumptions'!D9+'Assumptions'!D8*'Assumptions'!D10)+(U11*'Assumptions'!D6*'Assumptions'!D17+U11*'Assumptions'!D7*'Assumptions'!D18+U11*'Assumptions'!D8*'Assumptions'!D19)*'Assumptions'!D16+U11*'Assumptions'!D6*'Assumptions'!D23*'Assumptions'!D20+U11*'Assumptions'!D7*'Assumptions'!D24*'Assumptions'!D20*(1-'Assumptions'!D21)+U11*'Assumptions'!D8*'Assumptions'!D25*'Assumptions'!D20*(1-'Assumptions'!D22)</x:f>
        <x:v>1543.73772</x:v>
      </x:c>
      <x:c r="W11" s="200" t="n">
        <x:f>U11*('Assumptions'!D6*'Assumptions'!D23+'Assumptions'!D7*'Assumptions'!D24+'Assumptions'!D8*'Assumptions'!D25)</x:f>
        <x:v>11.629</x:v>
      </x:c>
      <x:c r="X11" s="201" t="n">
        <x:f>(W11+U11*'Assumptions'!D8*'Assumptions'!D26)*(('Assumptions'!D29/1000000)*'Assumptions'!D27+('Assumptions'!D30/1000000)*'Assumptions'!D28)*'Assumptions'!D31+(Q11+R11)*('Assumptions'!D6*'Assumptions'!D34+'Assumptions'!D7*'Assumptions'!D35+'Assumptions'!D8*'Assumptions'!D36)*(('Assumptions'!D32/1000000)*'Assumptions'!D27+('Assumptions'!D33/1000000)*'Assumptions'!D28)</x:f>
        <x:v>0.9827110416666668</x:v>
      </x:c>
      <x:c r="Y11" s="201" t="n">
        <x:f>(U11*('Assumptions'!D7*'Assumptions'!D9+'Assumptions'!D8*'Assumptions'!D10))*('Assumptions'!D37+'Assumptions'!D39)+U11*('Assumptions'!D7+'Assumptions'!D8)*'Assumptions'!D38+((U11*'Assumptions'!D6*'Assumptions'!D17+U11*'Assumptions'!D7*'Assumptions'!D18+U11*'Assumptions'!D8*'Assumptions'!D19)*'Assumptions'!D16)*'Assumptions'!D37+U11*('Assumptions'!D6*'Assumptions'!D17+'Assumptions'!D7*'Assumptions'!D18+'Assumptions'!D8*'Assumptions'!D19)*'Assumptions'!D38+(V11-U11*('Assumptions'!D7*'Assumptions'!D9+'Assumptions'!D8*'Assumptions'!D10)-(U11*'Assumptions'!D6*'Assumptions'!D17+U11*'Assumptions'!D7*'Assumptions'!D18+U11*'Assumptions'!D8*'Assumptions'!D19)*'Assumptions'!D16)*'Assumptions'!D37+W11*'Assumptions'!D38</x:f>
        <x:v>97.15202638000001</x:v>
      </x:c>
      <x:c r="Z11" s="201" t="n">
        <x:f>X11+Y11+'Assumptions'!D11+'Assumptions'!D12</x:f>
        <x:v>598.1347374216666</x:v>
      </x:c>
      <x:c r="AA11" s="201" t="n">
        <x:f>V11-Z11</x:f>
        <x:v>945.6029825783335</x:v>
      </x:c>
      <x:c r="AB11" s="185"/>
      <x:c r="AC11" s="199" t="str">
        <x:v>Aug 2026</x:v>
      </x:c>
      <x:c r="AD11" s="200" t="n">
        <x:f>'Assumptions'!E5</x:f>
        <x:v>500</x:v>
      </x:c>
      <x:c r="AE11" s="200" t="n">
        <x:f>'Assumptions'!E12/'Assumptions'!E13</x:f>
        <x:v>16.666666666666668</x:v>
      </x:c>
      <x:c r="AF11" s="200" t="n">
        <x:f>AD11*'Assumptions'!E14</x:f>
        <x:v>7.5</x:v>
      </x:c>
      <x:c r="AG11" s="200" t="n">
        <x:f>AD11*'Assumptions'!E15</x:f>
        <x:v>12.5</x:v>
      </x:c>
      <x:c r="AH11" s="200" t="n">
        <x:f>AD11+AE11+AF11-AG11</x:f>
        <x:v>511.66666666666663</x:v>
      </x:c>
      <x:c r="AI11" s="200" t="n">
        <x:f>(AD11+AH11)/2</x:f>
        <x:v>505.8333333333333</x:v>
      </x:c>
      <x:c r="AJ11" s="223" t="n">
        <x:f>AI11*('Assumptions'!E7*'Assumptions'!E9+'Assumptions'!E8*'Assumptions'!E10)+(AI11*'Assumptions'!E6*'Assumptions'!E17+AI11*'Assumptions'!E7*'Assumptions'!E18+AI11*'Assumptions'!E8*'Assumptions'!E19)*'Assumptions'!E16+AI11*'Assumptions'!E6*'Assumptions'!E23*'Assumptions'!E20+AI11*'Assumptions'!E7*'Assumptions'!E24*'Assumptions'!E20*(1-'Assumptions'!E21)+AI11*'Assumptions'!E8*'Assumptions'!E25*'Assumptions'!E20*(1-'Assumptions'!E22)</x:f>
        <x:v>2208.349968333333</x:v>
      </x:c>
      <x:c r="AK11" s="200" t="n">
        <x:f>AI11*('Assumptions'!E6*'Assumptions'!E23+'Assumptions'!E7*'Assumptions'!E24+'Assumptions'!E8*'Assumptions'!E25)</x:f>
        <x:v>12.443499999999998</x:v>
      </x:c>
      <x:c r="AL11" s="201" t="n">
        <x:f>(AK11+AI11*'Assumptions'!E8*'Assumptions'!E26)*(('Assumptions'!E29/1000000)*'Assumptions'!E27+('Assumptions'!E30/1000000)*'Assumptions'!E28)*'Assumptions'!E31+(AE11+AF11)*('Assumptions'!E6*'Assumptions'!E34+'Assumptions'!E7*'Assumptions'!E35+'Assumptions'!E8*'Assumptions'!E36)*(('Assumptions'!E32/1000000)*'Assumptions'!E27+('Assumptions'!E33/1000000)*'Assumptions'!E28)</x:f>
        <x:v>1.3142808680555556</x:v>
      </x:c>
      <x:c r="AM11" s="201" t="n">
        <x:f>(AI11*('Assumptions'!E7*'Assumptions'!E9+'Assumptions'!E8*'Assumptions'!E10))*('Assumptions'!E37+'Assumptions'!E39)+AI11*('Assumptions'!E7+'Assumptions'!E8)*'Assumptions'!E38+((AI11*'Assumptions'!E6*'Assumptions'!E17+AI11*'Assumptions'!E7*'Assumptions'!E18+AI11*'Assumptions'!E8*'Assumptions'!E19)*'Assumptions'!E16)*'Assumptions'!E37+AI11*('Assumptions'!E6*'Assumptions'!E17+'Assumptions'!E7*'Assumptions'!E18+'Assumptions'!E8*'Assumptions'!E19)*'Assumptions'!E38+(AJ11-AI11*('Assumptions'!E7*'Assumptions'!E9+'Assumptions'!E8*'Assumptions'!E10)-(AI11*'Assumptions'!E6*'Assumptions'!E17+AI11*'Assumptions'!E7*'Assumptions'!E18+AI11*'Assumptions'!E8*'Assumptions'!E19)*'Assumptions'!E16)*'Assumptions'!E37+AK11*'Assumptions'!E38</x:f>
        <x:v>136.04195991499998</x:v>
      </x:c>
      <x:c r="AN11" s="201" t="n">
        <x:f>AL11+AM11+'Assumptions'!E11+'Assumptions'!E12</x:f>
        <x:v>637.3562407830556</x:v>
      </x:c>
      <x:c r="AO11" s="201" t="n">
        <x:f>AJ11-AN11</x:f>
        <x:v>1570.9937275502775</x:v>
      </x:c>
    </x:row>
    <x:row r="12">
      <x:c r="A12" s="204" t="str">
        <x:v>Sep 2026</x:v>
      </x:c>
      <x:c r="B12" s="205" t="n">
        <x:f>F11</x:f>
        <x:v>492.5</x:v>
      </x:c>
      <x:c r="C12" s="205" t="n">
        <x:f>'Assumptions'!C12/'Assumptions'!C13</x:f>
        <x:v>10</x:v>
      </x:c>
      <x:c r="D12" s="205" t="n">
        <x:f>B12*'Assumptions'!C14</x:f>
        <x:v>2.4625</x:v>
      </x:c>
      <x:c r="E12" s="205" t="n">
        <x:f>B12*'Assumptions'!C15</x:f>
        <x:v>19.7</x:v>
      </x:c>
      <x:c r="F12" s="205" t="n">
        <x:f>B12+C12+D12-E12</x:f>
        <x:v>485.2625</x:v>
      </x:c>
      <x:c r="G12" s="205" t="n">
        <x:f>(B12+F12)/2</x:f>
        <x:v>488.88125</x:v>
      </x:c>
      <x:c r="H12" s="224" t="n">
        <x:f>G12*('Assumptions'!C7*'Assumptions'!C9+'Assumptions'!C8*'Assumptions'!C10)+(G12*'Assumptions'!C6*'Assumptions'!C17+G12*'Assumptions'!C7*'Assumptions'!C18+G12*'Assumptions'!C8*'Assumptions'!C19)*'Assumptions'!C16+G12*'Assumptions'!C6*'Assumptions'!C23*'Assumptions'!C20+G12*'Assumptions'!C7*'Assumptions'!C24*'Assumptions'!C20*(1-'Assumptions'!C21)+G12*'Assumptions'!C8*'Assumptions'!C25*'Assumptions'!C20*(1-'Assumptions'!C22)</x:f>
        <x:v>1214.7633301375004</x:v>
      </x:c>
      <x:c r="I12" s="205" t="n">
        <x:f>G12*('Assumptions'!C6*'Assumptions'!C23+'Assumptions'!C7*'Assumptions'!C24+'Assumptions'!C8*'Assumptions'!C25)</x:f>
        <x:v>10.950940000000001</x:v>
      </x:c>
      <x:c r="J12" s="206" t="n">
        <x:f>(I12+G12*'Assumptions'!C8*'Assumptions'!C26)*(('Assumptions'!C29/1000000)*'Assumptions'!C27+('Assumptions'!C30/1000000)*'Assumptions'!C28)*'Assumptions'!C31+(C12+D12)*('Assumptions'!C6*'Assumptions'!C34+'Assumptions'!C7*'Assumptions'!C35+'Assumptions'!C8*'Assumptions'!C36)*(('Assumptions'!C32/1000000)*'Assumptions'!C27+('Assumptions'!C33/1000000)*'Assumptions'!C28)</x:f>
        <x:v>0.8328196078125</x:v>
      </x:c>
      <x:c r="K12" s="206" t="n">
        <x:f>(G12*('Assumptions'!C7*'Assumptions'!C9+'Assumptions'!C8*'Assumptions'!C10))*('Assumptions'!C37+'Assumptions'!C39)+G12*('Assumptions'!C7+'Assumptions'!C8)*'Assumptions'!C38+((G12*'Assumptions'!C6*'Assumptions'!C17+G12*'Assumptions'!C7*'Assumptions'!C18+G12*'Assumptions'!C8*'Assumptions'!C19)*'Assumptions'!C16)*'Assumptions'!C37+G12*('Assumptions'!C6*'Assumptions'!C17+'Assumptions'!C7*'Assumptions'!C18+'Assumptions'!C8*'Assumptions'!C19)*'Assumptions'!C38+(H12-G12*('Assumptions'!C7*'Assumptions'!C9+'Assumptions'!C8*'Assumptions'!C10)-(G12*'Assumptions'!C6*'Assumptions'!C17+G12*'Assumptions'!C7*'Assumptions'!C18+G12*'Assumptions'!C8*'Assumptions'!C19)*'Assumptions'!C16)*'Assumptions'!C37+I12*'Assumptions'!C38</x:f>
        <x:v>77.2130138833625</x:v>
      </x:c>
      <x:c r="L12" s="206" t="n">
        <x:f>J12+K12+'Assumptions'!C11+'Assumptions'!C12</x:f>
        <x:v>578.045833491175</x:v>
      </x:c>
      <x:c r="M12" s="206" t="n">
        <x:f>H12-L12</x:f>
        <x:v>636.7174966463253</x:v>
      </x:c>
      <x:c r="N12" s="185"/>
      <x:c r="O12" s="204" t="str">
        <x:v>Sep 2026</x:v>
      </x:c>
      <x:c r="P12" s="205" t="n">
        <x:f>T11</x:f>
        <x:v>502.5</x:v>
      </x:c>
      <x:c r="Q12" s="205" t="n">
        <x:f>'Assumptions'!D12/'Assumptions'!D13</x:f>
        <x:v>12.5</x:v>
      </x:c>
      <x:c r="R12" s="205" t="n">
        <x:f>P12*'Assumptions'!D14</x:f>
        <x:v>5.025</x:v>
      </x:c>
      <x:c r="S12" s="205" t="n">
        <x:f>P12*'Assumptions'!D15</x:f>
        <x:v>15.075</x:v>
      </x:c>
      <x:c r="T12" s="205" t="n">
        <x:f>P12+Q12+R12-S12</x:f>
        <x:v>504.95</x:v>
      </x:c>
      <x:c r="U12" s="205" t="n">
        <x:f>(P12+T12)/2</x:f>
        <x:v>503.725</x:v>
      </x:c>
      <x:c r="V12" s="224" t="n">
        <x:f>U12*('Assumptions'!D7*'Assumptions'!D9+'Assumptions'!D8*'Assumptions'!D10)+(U12*'Assumptions'!D6*'Assumptions'!D17+U12*'Assumptions'!D7*'Assumptions'!D18+U12*'Assumptions'!D8*'Assumptions'!D19)*'Assumptions'!D16+U12*'Assumptions'!D6*'Assumptions'!D23*'Assumptions'!D20+U12*'Assumptions'!D7*'Assumptions'!D24*'Assumptions'!D20*(1-'Assumptions'!D21)+U12*'Assumptions'!D8*'Assumptions'!D25*'Assumptions'!D20*(1-'Assumptions'!D22)</x:f>
        <x:v>1551.3601656</x:v>
      </x:c>
      <x:c r="W12" s="205" t="n">
        <x:f>U12*('Assumptions'!D6*'Assumptions'!D23+'Assumptions'!D7*'Assumptions'!D24+'Assumptions'!D8*'Assumptions'!D25)</x:f>
        <x:v>11.68642</x:v>
      </x:c>
      <x:c r="X12" s="206" t="n">
        <x:f>(W12+U12*'Assumptions'!D8*'Assumptions'!D26)*(('Assumptions'!D29/1000000)*'Assumptions'!D27+('Assumptions'!D30/1000000)*'Assumptions'!D28)*'Assumptions'!D31+(Q12+R12)*('Assumptions'!D6*'Assumptions'!D34+'Assumptions'!D7*'Assumptions'!D35+'Assumptions'!D8*'Assumptions'!D36)*(('Assumptions'!D32/1000000)*'Assumptions'!D27+('Assumptions'!D33/1000000)*'Assumptions'!D28)</x:f>
        <x:v>0.9872074041666666</x:v>
      </x:c>
      <x:c r="Y12" s="206" t="n">
        <x:f>(U12*('Assumptions'!D7*'Assumptions'!D9+'Assumptions'!D8*'Assumptions'!D10))*('Assumptions'!D37+'Assumptions'!D39)+U12*('Assumptions'!D7+'Assumptions'!D8)*'Assumptions'!D38+((U12*'Assumptions'!D6*'Assumptions'!D17+U12*'Assumptions'!D7*'Assumptions'!D18+U12*'Assumptions'!D8*'Assumptions'!D19)*'Assumptions'!D16)*'Assumptions'!D37+U12*('Assumptions'!D6*'Assumptions'!D17+'Assumptions'!D7*'Assumptions'!D18+'Assumptions'!D8*'Assumptions'!D19)*'Assumptions'!D38+(V12-U12*('Assumptions'!D7*'Assumptions'!D9+'Assumptions'!D8*'Assumptions'!D10)-(U12*'Assumptions'!D6*'Assumptions'!D17+U12*'Assumptions'!D7*'Assumptions'!D18+U12*'Assumptions'!D8*'Assumptions'!D19)*'Assumptions'!D16)*'Assumptions'!D37+W12*'Assumptions'!D38</x:f>
        <x:v>97.6317296524</x:v>
      </x:c>
      <x:c r="Z12" s="206" t="n">
        <x:f>X12+Y12+'Assumptions'!D11+'Assumptions'!D12</x:f>
        <x:v>598.6189370565667</x:v>
      </x:c>
      <x:c r="AA12" s="206" t="n">
        <x:f>V12-Z12</x:f>
        <x:v>952.7412285434334</x:v>
      </x:c>
      <x:c r="AB12" s="185"/>
      <x:c r="AC12" s="204" t="str">
        <x:v>Sep 2026</x:v>
      </x:c>
      <x:c r="AD12" s="205" t="n">
        <x:f>AH11</x:f>
        <x:v>511.66666666666663</x:v>
      </x:c>
      <x:c r="AE12" s="205" t="n">
        <x:f>'Assumptions'!E12/'Assumptions'!E13</x:f>
        <x:v>16.666666666666668</x:v>
      </x:c>
      <x:c r="AF12" s="205" t="n">
        <x:f>AD12*'Assumptions'!E14</x:f>
        <x:v>7.674999999999999</x:v>
      </x:c>
      <x:c r="AG12" s="205" t="n">
        <x:f>AD12*'Assumptions'!E15</x:f>
        <x:v>12.791666666666666</x:v>
      </x:c>
      <x:c r="AH12" s="205" t="n">
        <x:f>AD12+AE12+AF12-AG12</x:f>
        <x:v>523.2166666666666</x:v>
      </x:c>
      <x:c r="AI12" s="205" t="n">
        <x:f>(AD12+AH12)/2</x:f>
        <x:v>517.4416666666666</x:v>
      </x:c>
      <x:c r="AJ12" s="224" t="n">
        <x:f>AI12*('Assumptions'!E7*'Assumptions'!E9+'Assumptions'!E8*'Assumptions'!E10)+(AI12*'Assumptions'!E6*'Assumptions'!E17+AI12*'Assumptions'!E7*'Assumptions'!E18+AI12*'Assumptions'!E8*'Assumptions'!E19)*'Assumptions'!E16+AI12*'Assumptions'!E6*'Assumptions'!E23*'Assumptions'!E20+AI12*'Assumptions'!E7*'Assumptions'!E24*'Assumptions'!E20*(1-'Assumptions'!E21)+AI12*'Assumptions'!E8*'Assumptions'!E25*'Assumptions'!E20*(1-'Assumptions'!E22)</x:f>
        <x:v>2259.0292353166665</x:v>
      </x:c>
      <x:c r="AK12" s="205" t="n">
        <x:f>AI12*('Assumptions'!E6*'Assumptions'!E23+'Assumptions'!E7*'Assumptions'!E24+'Assumptions'!E8*'Assumptions'!E25)</x:f>
        <x:v>12.729064999999997</x:v>
      </x:c>
      <x:c r="AL12" s="206" t="n">
        <x:f>(AK12+AI12*'Assumptions'!E8*'Assumptions'!E26)*(('Assumptions'!E29/1000000)*'Assumptions'!E27+('Assumptions'!E30/1000000)*'Assumptions'!E28)*'Assumptions'!E31+(AE12+AF12)*('Assumptions'!E6*'Assumptions'!E34+'Assumptions'!E7*'Assumptions'!E35+'Assumptions'!E8*'Assumptions'!E36)*(('Assumptions'!E32/1000000)*'Assumptions'!E27+('Assumptions'!E33/1000000)*'Assumptions'!E28)</x:f>
        <x:v>1.3421264621527778</x:v>
      </x:c>
      <x:c r="AM12" s="206" t="n">
        <x:f>(AI12*('Assumptions'!E7*'Assumptions'!E9+'Assumptions'!E8*'Assumptions'!E10))*('Assumptions'!E37+'Assumptions'!E39)+AI12*('Assumptions'!E7+'Assumptions'!E8)*'Assumptions'!E38+((AI12*'Assumptions'!E6*'Assumptions'!E17+AI12*'Assumptions'!E7*'Assumptions'!E18+AI12*'Assumptions'!E8*'Assumptions'!E19)*'Assumptions'!E16)*'Assumptions'!E37+AI12*('Assumptions'!E6*'Assumptions'!E17+'Assumptions'!E7*'Assumptions'!E18+'Assumptions'!E8*'Assumptions'!E19)*'Assumptions'!E38+(AJ12-AI12*('Assumptions'!E7*'Assumptions'!E9+'Assumptions'!E8*'Assumptions'!E10)-(AI12*'Assumptions'!E6*'Assumptions'!E17+AI12*'Assumptions'!E7*'Assumptions'!E18+AI12*'Assumptions'!E8*'Assumptions'!E19)*'Assumptions'!E16)*'Assumptions'!E37+AK12*'Assumptions'!E38</x:f>
        <x:v>139.16397721585</x:v>
      </x:c>
      <x:c r="AN12" s="206" t="n">
        <x:f>AL12+AM12+'Assumptions'!E11+'Assumptions'!E12</x:f>
        <x:v>640.5061036780028</x:v>
      </x:c>
      <x:c r="AO12" s="206" t="n">
        <x:f>AJ12-AN12</x:f>
        <x:v>1618.5231316386637</x:v>
      </x:c>
    </x:row>
    <x:row r="13">
      <x:c r="A13" s="204" t="str">
        <x:v>Oct 2026</x:v>
      </x:c>
      <x:c r="B13" s="205" t="n">
        <x:f>F12</x:f>
        <x:v>485.2625</x:v>
      </x:c>
      <x:c r="C13" s="205" t="n">
        <x:f>'Assumptions'!C12/'Assumptions'!C13</x:f>
        <x:v>10</x:v>
      </x:c>
      <x:c r="D13" s="205" t="n">
        <x:f>B13*'Assumptions'!C14</x:f>
        <x:v>2.4263125</x:v>
      </x:c>
      <x:c r="E13" s="205" t="n">
        <x:f>B13*'Assumptions'!C15</x:f>
        <x:v>19.4105</x:v>
      </x:c>
      <x:c r="F13" s="205" t="n">
        <x:f>B13+C13+D13-E13</x:f>
        <x:v>478.27831249999997</x:v>
      </x:c>
      <x:c r="G13" s="205" t="n">
        <x:f>(B13+F13)/2</x:f>
        <x:v>481.77040624999995</x:v>
      </x:c>
      <x:c r="H13" s="224" t="n">
        <x:f>G13*('Assumptions'!C7*'Assumptions'!C9+'Assumptions'!C8*'Assumptions'!C10)+(G13*'Assumptions'!C6*'Assumptions'!C17+G13*'Assumptions'!C7*'Assumptions'!C18+G13*'Assumptions'!C8*'Assumptions'!C19)*'Assumptions'!C16+G13*'Assumptions'!C6*'Assumptions'!C23*'Assumptions'!C20+G13*'Assumptions'!C7*'Assumptions'!C24*'Assumptions'!C20*(1-'Assumptions'!C21)+G13*'Assumptions'!C8*'Assumptions'!C25*'Assumptions'!C20*(1-'Assumptions'!C22)</x:f>
        <x:v>1197.0944335826873</x:v>
      </x:c>
      <x:c r="I13" s="205" t="n">
        <x:f>G13*('Assumptions'!C6*'Assumptions'!C23+'Assumptions'!C7*'Assumptions'!C24+'Assumptions'!C8*'Assumptions'!C25)</x:f>
        <x:v>10.791657099999998</x:v>
      </x:c>
      <x:c r="J13" s="206" t="n">
        <x:f>(I13+G13*'Assumptions'!C8*'Assumptions'!C26)*(('Assumptions'!C29/1000000)*'Assumptions'!C27+('Assumptions'!C30/1000000)*'Assumptions'!C28)*'Assumptions'!C31+(C13+D13)*('Assumptions'!C6*'Assumptions'!C34+'Assumptions'!C7*'Assumptions'!C35+'Assumptions'!C8*'Assumptions'!C36)*(('Assumptions'!C32/1000000)*'Assumptions'!C27+('Assumptions'!C33/1000000)*'Assumptions'!C28)</x:f>
        <x:v>0.8215272215390624</x:v>
      </x:c>
      <x:c r="K13" s="206" t="n">
        <x:f>(G13*('Assumptions'!C7*'Assumptions'!C9+'Assumptions'!C8*'Assumptions'!C10))*('Assumptions'!C37+'Assumptions'!C39)+G13*('Assumptions'!C7+'Assumptions'!C8)*'Assumptions'!C38+((G13*'Assumptions'!C6*'Assumptions'!C17+G13*'Assumptions'!C7*'Assumptions'!C18+G13*'Assumptions'!C8*'Assumptions'!C19)*'Assumptions'!C16)*'Assumptions'!C37+G13*('Assumptions'!C6*'Assumptions'!C17+'Assumptions'!C7*'Assumptions'!C18+'Assumptions'!C8*'Assumptions'!C19)*'Assumptions'!C38+(H13-G13*('Assumptions'!C7*'Assumptions'!C9+'Assumptions'!C8*'Assumptions'!C10)-(G13*'Assumptions'!C6*'Assumptions'!C17+G13*'Assumptions'!C7*'Assumptions'!C18+G13*'Assumptions'!C8*'Assumptions'!C19)*'Assumptions'!C16)*'Assumptions'!C37+I13*'Assumptions'!C38</x:f>
        <x:v>76.0899401774448</x:v>
      </x:c>
      <x:c r="L13" s="206" t="n">
        <x:f>J13+K13+'Assumptions'!C11+'Assumptions'!C12</x:f>
        <x:v>576.9114673989839</x:v>
      </x:c>
      <x:c r="M13" s="206" t="n">
        <x:f>H13-L13</x:f>
        <x:v>620.1829661837035</x:v>
      </x:c>
      <x:c r="N13" s="185"/>
      <x:c r="O13" s="204" t="str">
        <x:v>Oct 2026</x:v>
      </x:c>
      <x:c r="P13" s="205" t="n">
        <x:f>T12</x:f>
        <x:v>504.95</x:v>
      </x:c>
      <x:c r="Q13" s="205" t="n">
        <x:f>'Assumptions'!D12/'Assumptions'!D13</x:f>
        <x:v>12.5</x:v>
      </x:c>
      <x:c r="R13" s="205" t="n">
        <x:f>P13*'Assumptions'!D14</x:f>
        <x:v>5.0495</x:v>
      </x:c>
      <x:c r="S13" s="205" t="n">
        <x:f>P13*'Assumptions'!D15</x:f>
        <x:v>15.148499999999999</x:v>
      </x:c>
      <x:c r="T13" s="205" t="n">
        <x:f>P13+Q13+R13-S13</x:f>
        <x:v>507.351</x:v>
      </x:c>
      <x:c r="U13" s="205" t="n">
        <x:f>(P13+T13)/2</x:f>
        <x:v>506.15049999999997</x:v>
      </x:c>
      <x:c r="V13" s="224" t="n">
        <x:f>U13*('Assumptions'!D7*'Assumptions'!D9+'Assumptions'!D8*'Assumptions'!D10)+(U13*'Assumptions'!D6*'Assumptions'!D17+U13*'Assumptions'!D7*'Assumptions'!D18+U13*'Assumptions'!D8*'Assumptions'!D19)*'Assumptions'!D16+U13*'Assumptions'!D6*'Assumptions'!D23*'Assumptions'!D20+U13*'Assumptions'!D7*'Assumptions'!D24*'Assumptions'!D20*(1-'Assumptions'!D21)+U13*'Assumptions'!D8*'Assumptions'!D25*'Assumptions'!D20*(1-'Assumptions'!D22)</x:f>
        <x:v>1558.8301622879999</x:v>
      </x:c>
      <x:c r="W13" s="205" t="n">
        <x:f>U13*('Assumptions'!D6*'Assumptions'!D23+'Assumptions'!D7*'Assumptions'!D24+'Assumptions'!D8*'Assumptions'!D25)</x:f>
        <x:v>11.742691599999999</x:v>
      </x:c>
      <x:c r="X13" s="206" t="n">
        <x:f>(W13+U13*'Assumptions'!D8*'Assumptions'!D26)*(('Assumptions'!D29/1000000)*'Assumptions'!D27+('Assumptions'!D30/1000000)*'Assumptions'!D28)*'Assumptions'!D31+(Q13+R13)*('Assumptions'!D6*'Assumptions'!D34+'Assumptions'!D7*'Assumptions'!D35+'Assumptions'!D8*'Assumptions'!D36)*(('Assumptions'!D32/1000000)*'Assumptions'!D27+('Assumptions'!D33/1000000)*'Assumptions'!D28)</x:f>
        <x:v>0.9916138394166666</x:v>
      </x:c>
      <x:c r="Y13" s="206" t="n">
        <x:f>(U13*('Assumptions'!D7*'Assumptions'!D9+'Assumptions'!D8*'Assumptions'!D10))*('Assumptions'!D37+'Assumptions'!D39)+U13*('Assumptions'!D7+'Assumptions'!D8)*'Assumptions'!D38+((U13*'Assumptions'!D6*'Assumptions'!D17+U13*'Assumptions'!D7*'Assumptions'!D18+U13*'Assumptions'!D8*'Assumptions'!D19)*'Assumptions'!D16)*'Assumptions'!D37+U13*('Assumptions'!D6*'Assumptions'!D17+'Assumptions'!D7*'Assumptions'!D18+'Assumptions'!D8*'Assumptions'!D19)*'Assumptions'!D38+(V13-U13*('Assumptions'!D7*'Assumptions'!D9+'Assumptions'!D8*'Assumptions'!D10)-(U13*'Assumptions'!D6*'Assumptions'!D17+U13*'Assumptions'!D7*'Assumptions'!D18+U13*'Assumptions'!D8*'Assumptions'!D19)*'Assumptions'!D16)*'Assumptions'!D37+W13*'Assumptions'!D38</x:f>
        <x:v>98.10183885935201</x:v>
      </x:c>
      <x:c r="Z13" s="206" t="n">
        <x:f>X13+Y13+'Assumptions'!D11+'Assumptions'!D12</x:f>
        <x:v>599.0934526987687</x:v>
      </x:c>
      <x:c r="AA13" s="206" t="n">
        <x:f>V13-Z13</x:f>
        <x:v>959.7367095892312</x:v>
      </x:c>
      <x:c r="AB13" s="185"/>
      <x:c r="AC13" s="204" t="str">
        <x:v>Oct 2026</x:v>
      </x:c>
      <x:c r="AD13" s="205" t="n">
        <x:f>AH12</x:f>
        <x:v>523.2166666666666</x:v>
      </x:c>
      <x:c r="AE13" s="205" t="n">
        <x:f>'Assumptions'!E12/'Assumptions'!E13</x:f>
        <x:v>16.666666666666668</x:v>
      </x:c>
      <x:c r="AF13" s="205" t="n">
        <x:f>AD13*'Assumptions'!E14</x:f>
        <x:v>7.848249999999998</x:v>
      </x:c>
      <x:c r="AG13" s="205" t="n">
        <x:f>AD13*'Assumptions'!E15</x:f>
        <x:v>13.080416666666665</x:v>
      </x:c>
      <x:c r="AH13" s="205" t="n">
        <x:f>AD13+AE13+AF13-AG13</x:f>
        <x:v>534.6511666666665</x:v>
      </x:c>
      <x:c r="AI13" s="205" t="n">
        <x:f>(AD13+AH13)/2</x:f>
        <x:v>528.9339166666666</x:v>
      </x:c>
      <x:c r="AJ13" s="224" t="n">
        <x:f>AI13*('Assumptions'!E7*'Assumptions'!E9+'Assumptions'!E8*'Assumptions'!E10)+(AI13*'Assumptions'!E6*'Assumptions'!E17+AI13*'Assumptions'!E7*'Assumptions'!E18+AI13*'Assumptions'!E8*'Assumptions'!E19)*'Assumptions'!E16+AI13*'Assumptions'!E6*'Assumptions'!E23*'Assumptions'!E20+AI13*'Assumptions'!E7*'Assumptions'!E24*'Assumptions'!E20*(1-'Assumptions'!E21)+AI13*'Assumptions'!E8*'Assumptions'!E25*'Assumptions'!E20*(1-'Assumptions'!E22)</x:f>
        <x:v>2309.2017096301665</x:v>
      </x:c>
      <x:c r="AK13" s="205" t="n">
        <x:f>AI13*('Assumptions'!E6*'Assumptions'!E23+'Assumptions'!E7*'Assumptions'!E24+'Assumptions'!E8*'Assumptions'!E25)</x:f>
        <x:v>13.011774349999998</x:v>
      </x:c>
      <x:c r="AL13" s="206" t="n">
        <x:f>(AK13+AI13*'Assumptions'!E8*'Assumptions'!E26)*(('Assumptions'!E29/1000000)*'Assumptions'!E27+('Assumptions'!E30/1000000)*'Assumptions'!E28)*'Assumptions'!E31+(AE13+AF13)*('Assumptions'!E6*'Assumptions'!E34+'Assumptions'!E7*'Assumptions'!E35+'Assumptions'!E8*'Assumptions'!E36)*(('Assumptions'!E32/1000000)*'Assumptions'!E27+('Assumptions'!E33/1000000)*'Assumptions'!E28)</x:f>
        <x:v>1.3696936003090276</x:v>
      </x:c>
      <x:c r="AM13" s="206" t="n">
        <x:f>(AI13*('Assumptions'!E7*'Assumptions'!E9+'Assumptions'!E8*'Assumptions'!E10))*('Assumptions'!E37+'Assumptions'!E39)+AI13*('Assumptions'!E7+'Assumptions'!E8)*'Assumptions'!E38+((AI13*'Assumptions'!E6*'Assumptions'!E17+AI13*'Assumptions'!E7*'Assumptions'!E18+AI13*'Assumptions'!E8*'Assumptions'!E19)*'Assumptions'!E16)*'Assumptions'!E37+AI13*('Assumptions'!E6*'Assumptions'!E17+'Assumptions'!E7*'Assumptions'!E18+'Assumptions'!E8*'Assumptions'!E19)*'Assumptions'!E38+(AJ13-AI13*('Assumptions'!E7*'Assumptions'!E9+'Assumptions'!E8*'Assumptions'!E10)-(AI13*'Assumptions'!E6*'Assumptions'!E17+AI13*'Assumptions'!E7*'Assumptions'!E18+AI13*'Assumptions'!E8*'Assumptions'!E19)*'Assumptions'!E16)*'Assumptions'!E37+AK13*'Assumptions'!E38</x:f>
        <x:v>142.2547743436915</x:v>
      </x:c>
      <x:c r="AN13" s="206" t="n">
        <x:f>AL13+AM13+'Assumptions'!E11+'Assumptions'!E12</x:f>
        <x:v>643.6244679440006</x:v>
      </x:c>
      <x:c r="AO13" s="206" t="n">
        <x:f>AJ13-AN13</x:f>
        <x:v>1665.577241686166</x:v>
      </x:c>
    </x:row>
    <x:row r="14">
      <x:c r="A14" s="204" t="str">
        <x:v>Nov 2026</x:v>
      </x:c>
      <x:c r="B14" s="205" t="n">
        <x:f>F13</x:f>
        <x:v>478.27831249999997</x:v>
      </x:c>
      <x:c r="C14" s="205" t="n">
        <x:f>'Assumptions'!C12/'Assumptions'!C13</x:f>
        <x:v>10</x:v>
      </x:c>
      <x:c r="D14" s="205" t="n">
        <x:f>B14*'Assumptions'!C14</x:f>
        <x:v>2.3913915625</x:v>
      </x:c>
      <x:c r="E14" s="205" t="n">
        <x:f>B14*'Assumptions'!C15</x:f>
        <x:v>19.1311325</x:v>
      </x:c>
      <x:c r="F14" s="205" t="n">
        <x:f>B14+C14+D14-E14</x:f>
        <x:v>471.5385715625</x:v>
      </x:c>
      <x:c r="G14" s="205" t="n">
        <x:f>(B14+F14)/2</x:f>
        <x:v>474.90844203125</x:v>
      </x:c>
      <x:c r="H14" s="224" t="n">
        <x:f>G14*('Assumptions'!C7*'Assumptions'!C9+'Assumptions'!C8*'Assumptions'!C10)+(G14*'Assumptions'!C6*'Assumptions'!C17+G14*'Assumptions'!C7*'Assumptions'!C18+G14*'Assumptions'!C8*'Assumptions'!C19)*'Assumptions'!C16+G14*'Assumptions'!C6*'Assumptions'!C23*'Assumptions'!C20+G14*'Assumptions'!C7*'Assumptions'!C24*'Assumptions'!C20*(1-'Assumptions'!C21)+G14*'Assumptions'!C8*'Assumptions'!C25*'Assumptions'!C20*(1-'Assumptions'!C22)</x:f>
        <x:v>1180.0439484072936</x:v>
      </x:c>
      <x:c r="I14" s="205" t="n">
        <x:f>G14*('Assumptions'!C6*'Assumptions'!C23+'Assumptions'!C7*'Assumptions'!C24+'Assumptions'!C8*'Assumptions'!C25)</x:f>
        <x:v>10.6379491015</x:v>
      </x:c>
      <x:c r="J14" s="206" t="n">
        <x:f>(I14+G14*'Assumptions'!C8*'Assumptions'!C26)*(('Assumptions'!C29/1000000)*'Assumptions'!C27+('Assumptions'!C30/1000000)*'Assumptions'!C28)*'Assumptions'!C31+(C14+D14)*('Assumptions'!C6*'Assumptions'!C34+'Assumptions'!C7*'Assumptions'!C35+'Assumptions'!C8*'Assumptions'!C36)*(('Assumptions'!C32/1000000)*'Assumptions'!C27+('Assumptions'!C33/1000000)*'Assumptions'!C28)</x:f>
        <x:v>0.8106300687851953</x:v>
      </x:c>
      <x:c r="K14" s="206" t="n">
        <x:f>(G14*('Assumptions'!C7*'Assumptions'!C9+'Assumptions'!C8*'Assumptions'!C10))*('Assumptions'!C37+'Assumptions'!C39)+G14*('Assumptions'!C7+'Assumptions'!C8)*'Assumptions'!C38+((G14*'Assumptions'!C6*'Assumptions'!C17+G14*'Assumptions'!C7*'Assumptions'!C18+G14*'Assumptions'!C8*'Assumptions'!C19)*'Assumptions'!C16)*'Assumptions'!C37+G14*('Assumptions'!C6*'Assumptions'!C17+'Assumptions'!C7*'Assumptions'!C18+'Assumptions'!C8*'Assumptions'!C19)*'Assumptions'!C38+(H14-G14*('Assumptions'!C7*'Assumptions'!C9+'Assumptions'!C8*'Assumptions'!C10)-(G14*'Assumptions'!C6*'Assumptions'!C17+G14*'Assumptions'!C7*'Assumptions'!C18+G14*'Assumptions'!C8*'Assumptions'!C19)*'Assumptions'!C16)*'Assumptions'!C37+I14*'Assumptions'!C38</x:f>
        <x:v>75.00617405123425</x:v>
      </x:c>
      <x:c r="L14" s="206" t="n">
        <x:f>J14+K14+'Assumptions'!C11+'Assumptions'!C12</x:f>
        <x:v>575.8168041200195</x:v>
      </x:c>
      <x:c r="M14" s="206" t="n">
        <x:f>H14-L14</x:f>
        <x:v>604.2271442872741</x:v>
      </x:c>
      <x:c r="N14" s="185"/>
      <x:c r="O14" s="204" t="str">
        <x:v>Nov 2026</x:v>
      </x:c>
      <x:c r="P14" s="205" t="n">
        <x:f>T13</x:f>
        <x:v>507.351</x:v>
      </x:c>
      <x:c r="Q14" s="205" t="n">
        <x:f>'Assumptions'!D12/'Assumptions'!D13</x:f>
        <x:v>12.5</x:v>
      </x:c>
      <x:c r="R14" s="205" t="n">
        <x:f>P14*'Assumptions'!D14</x:f>
        <x:v>5.07351</x:v>
      </x:c>
      <x:c r="S14" s="205" t="n">
        <x:f>P14*'Assumptions'!D15</x:f>
        <x:v>15.22053</x:v>
      </x:c>
      <x:c r="T14" s="205" t="n">
        <x:f>P14+Q14+R14-S14</x:f>
        <x:v>509.70398000000006</x:v>
      </x:c>
      <x:c r="U14" s="205" t="n">
        <x:f>(P14+T14)/2</x:f>
        <x:v>508.52749000000006</x:v>
      </x:c>
      <x:c r="V14" s="224" t="n">
        <x:f>U14*('Assumptions'!D7*'Assumptions'!D9+'Assumptions'!D8*'Assumptions'!D10)+(U14*'Assumptions'!D6*'Assumptions'!D17+U14*'Assumptions'!D7*'Assumptions'!D18+U14*'Assumptions'!D8*'Assumptions'!D19)*'Assumptions'!D16+U14*'Assumptions'!D6*'Assumptions'!D23*'Assumptions'!D20+U14*'Assumptions'!D7*'Assumptions'!D24*'Assumptions'!D20*(1-'Assumptions'!D21)+U14*'Assumptions'!D8*'Assumptions'!D25*'Assumptions'!D20*(1-'Assumptions'!D22)</x:f>
        <x:v>1566.1507590422402</x:v>
      </x:c>
      <x:c r="W14" s="205" t="n">
        <x:f>U14*('Assumptions'!D6*'Assumptions'!D23+'Assumptions'!D7*'Assumptions'!D24+'Assumptions'!D8*'Assumptions'!D25)</x:f>
        <x:v>11.797837768</x:v>
      </x:c>
      <x:c r="X14" s="206" t="n">
        <x:f>(W14+U14*'Assumptions'!D8*'Assumptions'!D26)*(('Assumptions'!D29/1000000)*'Assumptions'!D27+('Assumptions'!D30/1000000)*'Assumptions'!D28)*'Assumptions'!D31+(Q14+R14)*('Assumptions'!D6*'Assumptions'!D34+'Assumptions'!D7*'Assumptions'!D35+'Assumptions'!D8*'Assumptions'!D36)*(('Assumptions'!D32/1000000)*'Assumptions'!D27+('Assumptions'!D33/1000000)*'Assumptions'!D28)</x:f>
        <x:v>0.9959321459616669</x:v>
      </x:c>
      <x:c r="Y14" s="206" t="n">
        <x:f>(U14*('Assumptions'!D7*'Assumptions'!D9+'Assumptions'!D8*'Assumptions'!D10))*('Assumptions'!D37+'Assumptions'!D39)+U14*('Assumptions'!D7+'Assumptions'!D8)*'Assumptions'!D38+((U14*'Assumptions'!D6*'Assumptions'!D17+U14*'Assumptions'!D7*'Assumptions'!D18+U14*'Assumptions'!D8*'Assumptions'!D19)*'Assumptions'!D16)*'Assumptions'!D37+U14*('Assumptions'!D6*'Assumptions'!D17+'Assumptions'!D7*'Assumptions'!D18+'Assumptions'!D8*'Assumptions'!D19)*'Assumptions'!D38+(V14-U14*('Assumptions'!D7*'Assumptions'!D9+'Assumptions'!D8*'Assumptions'!D10)-(U14*'Assumptions'!D6*'Assumptions'!D17+U14*'Assumptions'!D7*'Assumptions'!D18+U14*'Assumptions'!D8*'Assumptions'!D19)*'Assumptions'!D16)*'Assumptions'!D37+W14*'Assumptions'!D38</x:f>
        <x:v>98.56254588216497</x:v>
      </x:c>
      <x:c r="Z14" s="206" t="n">
        <x:f>X14+Y14+'Assumptions'!D11+'Assumptions'!D12</x:f>
        <x:v>599.5584780281266</x:v>
      </x:c>
      <x:c r="AA14" s="206" t="n">
        <x:f>V14-Z14</x:f>
        <x:v>966.5922810141136</x:v>
      </x:c>
      <x:c r="AB14" s="185"/>
      <x:c r="AC14" s="204" t="str">
        <x:v>Nov 2026</x:v>
      </x:c>
      <x:c r="AD14" s="205" t="n">
        <x:f>AH13</x:f>
        <x:v>534.6511666666665</x:v>
      </x:c>
      <x:c r="AE14" s="205" t="n">
        <x:f>'Assumptions'!E12/'Assumptions'!E13</x:f>
        <x:v>16.666666666666668</x:v>
      </x:c>
      <x:c r="AF14" s="205" t="n">
        <x:f>AD14*'Assumptions'!E14</x:f>
        <x:v>8.019767499999999</x:v>
      </x:c>
      <x:c r="AG14" s="205" t="n">
        <x:f>AD14*'Assumptions'!E15</x:f>
        <x:v>13.366279166666665</x:v>
      </x:c>
      <x:c r="AH14" s="205" t="n">
        <x:f>AD14+AE14+AF14-AG14</x:f>
        <x:v>545.9713216666664</x:v>
      </x:c>
      <x:c r="AI14" s="205" t="n">
        <x:f>(AD14+AH14)/2</x:f>
        <x:v>540.3112441666665</x:v>
      </x:c>
      <x:c r="AJ14" s="224" t="n">
        <x:f>AI14*('Assumptions'!E7*'Assumptions'!E9+'Assumptions'!E8*'Assumptions'!E10)+(AI14*'Assumptions'!E6*'Assumptions'!E17+AI14*'Assumptions'!E7*'Assumptions'!E18+AI14*'Assumptions'!E8*'Assumptions'!E19)*'Assumptions'!E16+AI14*'Assumptions'!E6*'Assumptions'!E23*'Assumptions'!E20+AI14*'Assumptions'!E7*'Assumptions'!E24*'Assumptions'!E20*(1-'Assumptions'!E21)+AI14*'Assumptions'!E8*'Assumptions'!E25*'Assumptions'!E20*(1-'Assumptions'!E22)</x:f>
        <x:v>2358.872459200531</x:v>
      </x:c>
      <x:c r="AK14" s="205" t="n">
        <x:f>AI14*('Assumptions'!E6*'Assumptions'!E23+'Assumptions'!E7*'Assumptions'!E24+'Assumptions'!E8*'Assumptions'!E25)</x:f>
        <x:v>13.291656606499993</x:v>
      </x:c>
      <x:c r="AL14" s="206" t="n">
        <x:f>(AK14+AI14*'Assumptions'!E8*'Assumptions'!E26)*(('Assumptions'!E29/1000000)*'Assumptions'!E27+('Assumptions'!E30/1000000)*'Assumptions'!E28)*'Assumptions'!E31+(AE14+AF14)*('Assumptions'!E6*'Assumptions'!E34+'Assumptions'!E7*'Assumptions'!E35+'Assumptions'!E8*'Assumptions'!E36)*(('Assumptions'!E32/1000000)*'Assumptions'!E27+('Assumptions'!E33/1000000)*'Assumptions'!E28)</x:f>
        <x:v>1.3969850670837147</x:v>
      </x:c>
      <x:c r="AM14" s="206" t="n">
        <x:f>(AI14*('Assumptions'!E7*'Assumptions'!E9+'Assumptions'!E8*'Assumptions'!E10))*('Assumptions'!E37+'Assumptions'!E39)+AI14*('Assumptions'!E7+'Assumptions'!E8)*'Assumptions'!E38+((AI14*'Assumptions'!E6*'Assumptions'!E17+AI14*'Assumptions'!E7*'Assumptions'!E18+AI14*'Assumptions'!E8*'Assumptions'!E19)*'Assumptions'!E16)*'Assumptions'!E37+AI14*('Assumptions'!E6*'Assumptions'!E17+'Assumptions'!E7*'Assumptions'!E18+'Assumptions'!E8*'Assumptions'!E19)*'Assumptions'!E38+(AJ14-AI14*('Assumptions'!E7*'Assumptions'!E9+'Assumptions'!E8*'Assumptions'!E10)-(AI14*'Assumptions'!E6*'Assumptions'!E17+AI14*'Assumptions'!E7*'Assumptions'!E18+AI14*'Assumptions'!E8*'Assumptions'!E19)*'Assumptions'!E16)*'Assumptions'!E37+AK14*'Assumptions'!E38</x:f>
        <x:v>145.31466350025454</x:v>
      </x:c>
      <x:c r="AN14" s="206" t="n">
        <x:f>AL14+AM14+'Assumptions'!E11+'Assumptions'!E12</x:f>
        <x:v>646.7116485673382</x:v>
      </x:c>
      <x:c r="AO14" s="206" t="n">
        <x:f>AJ14-AN14</x:f>
        <x:v>1712.1608106331928</x:v>
      </x:c>
    </x:row>
    <x:row r="15">
      <x:c r="A15" s="204" t="str">
        <x:v>Dec 2026</x:v>
      </x:c>
      <x:c r="B15" s="205" t="n">
        <x:f>F14</x:f>
        <x:v>471.5385715625</x:v>
      </x:c>
      <x:c r="C15" s="205" t="n">
        <x:f>'Assumptions'!C12/'Assumptions'!C13</x:f>
        <x:v>10</x:v>
      </x:c>
      <x:c r="D15" s="205" t="n">
        <x:f>B15*'Assumptions'!C14</x:f>
        <x:v>2.3576928578125003</x:v>
      </x:c>
      <x:c r="E15" s="205" t="n">
        <x:f>B15*'Assumptions'!C15</x:f>
        <x:v>18.861542862500002</x:v>
      </x:c>
      <x:c r="F15" s="205" t="n">
        <x:f>B15+C15+D15-E15</x:f>
        <x:v>465.0347215578125</x:v>
      </x:c>
      <x:c r="G15" s="205" t="n">
        <x:f>(B15+F15)/2</x:f>
        <x:v>468.2866465601562</x:v>
      </x:c>
      <x:c r="H15" s="224" t="n">
        <x:f>G15*('Assumptions'!C7*'Assumptions'!C9+'Assumptions'!C8*'Assumptions'!C10)+(G15*'Assumptions'!C6*'Assumptions'!C17+G15*'Assumptions'!C7*'Assumptions'!C18+G15*'Assumptions'!C8*'Assumptions'!C19)*'Assumptions'!C16+G15*'Assumptions'!C6*'Assumptions'!C23*'Assumptions'!C20+G15*'Assumptions'!C7*'Assumptions'!C24*'Assumptions'!C20*(1-'Assumptions'!C21)+G15*'Assumptions'!C8*'Assumptions'!C25*'Assumptions'!C20*(1-'Assumptions'!C22)</x:f>
        <x:v>1163.590230213038</x:v>
      </x:c>
      <x:c r="I15" s="205" t="n">
        <x:f>G15*('Assumptions'!C6*'Assumptions'!C23+'Assumptions'!C7*'Assumptions'!C24+'Assumptions'!C8*'Assumptions'!C25)</x:f>
        <x:v>10.489620882947499</x:v>
      </x:c>
      <x:c r="J15" s="206" t="n">
        <x:f>(I15+G15*'Assumptions'!C8*'Assumptions'!C26)*(('Assumptions'!C29/1000000)*'Assumptions'!C27+('Assumptions'!C30/1000000)*'Assumptions'!C28)*'Assumptions'!C31+(C15+D15)*('Assumptions'!C6*'Assumptions'!C34+'Assumptions'!C7*'Assumptions'!C35+'Assumptions'!C8*'Assumptions'!C36)*(('Assumptions'!C32/1000000)*'Assumptions'!C27+('Assumptions'!C33/1000000)*'Assumptions'!C28)</x:f>
        <x:v>0.8001143163777134</x:v>
      </x:c>
      <x:c r="K15" s="206" t="n">
        <x:f>(G15*('Assumptions'!C7*'Assumptions'!C9+'Assumptions'!C8*'Assumptions'!C10))*('Assumptions'!C37+'Assumptions'!C39)+G15*('Assumptions'!C7+'Assumptions'!C8)*'Assumptions'!C38+((G15*'Assumptions'!C6*'Assumptions'!C17+G15*'Assumptions'!C7*'Assumptions'!C18+G15*'Assumptions'!C8*'Assumptions'!C19)*'Assumptions'!C16)*'Assumptions'!C37+G15*('Assumptions'!C6*'Assumptions'!C17+'Assumptions'!C7*'Assumptions'!C18+'Assumptions'!C8*'Assumptions'!C19)*'Assumptions'!C38+(H15-G15*('Assumptions'!C7*'Assumptions'!C9+'Assumptions'!C8*'Assumptions'!C10)-(G15*'Assumptions'!C6*'Assumptions'!C17+G15*'Assumptions'!C7*'Assumptions'!C18+G15*'Assumptions'!C8*'Assumptions'!C19)*'Assumptions'!C16)*'Assumptions'!C37+I15*'Assumptions'!C38</x:f>
        <x:v>73.96033973944104</x:v>
      </x:c>
      <x:c r="L15" s="206" t="n">
        <x:f>J15+K15+'Assumptions'!C11+'Assumptions'!C12</x:f>
        <x:v>574.7604540558187</x:v>
      </x:c>
      <x:c r="M15" s="206" t="n">
        <x:f>H15-L15</x:f>
        <x:v>588.8297761572193</x:v>
      </x:c>
      <x:c r="N15" s="185"/>
      <x:c r="O15" s="204" t="str">
        <x:v>Dec 2026</x:v>
      </x:c>
      <x:c r="P15" s="205" t="n">
        <x:f>T14</x:f>
        <x:v>509.70398000000006</x:v>
      </x:c>
      <x:c r="Q15" s="205" t="n">
        <x:f>'Assumptions'!D12/'Assumptions'!D13</x:f>
        <x:v>12.5</x:v>
      </x:c>
      <x:c r="R15" s="205" t="n">
        <x:f>P15*'Assumptions'!D14</x:f>
        <x:v>5.097039800000001</x:v>
      </x:c>
      <x:c r="S15" s="205" t="n">
        <x:f>P15*'Assumptions'!D15</x:f>
        <x:v>15.291119400000001</x:v>
      </x:c>
      <x:c r="T15" s="205" t="n">
        <x:f>P15+Q15+R15-S15</x:f>
        <x:v>512.0099004</x:v>
      </x:c>
      <x:c r="U15" s="205" t="n">
        <x:f>(P15+T15)/2</x:f>
        <x:v>510.85694020000005</x:v>
      </x:c>
      <x:c r="V15" s="224" t="n">
        <x:f>U15*('Assumptions'!D7*'Assumptions'!D9+'Assumptions'!D8*'Assumptions'!D10)+(U15*'Assumptions'!D6*'Assumptions'!D17+U15*'Assumptions'!D7*'Assumptions'!D18+U15*'Assumptions'!D8*'Assumptions'!D19)*'Assumptions'!D16+U15*'Assumptions'!D6*'Assumptions'!D23*'Assumptions'!D20+U15*'Assumptions'!D7*'Assumptions'!D24*'Assumptions'!D20*(1-'Assumptions'!D21)+U15*'Assumptions'!D8*'Assumptions'!D25*'Assumptions'!D20*(1-'Assumptions'!D22)</x:f>
        <x:v>1573.3249438613955</x:v>
      </x:c>
      <x:c r="W15" s="205" t="n">
        <x:f>U15*('Assumptions'!D6*'Assumptions'!D23+'Assumptions'!D7*'Assumptions'!D24+'Assumptions'!D8*'Assumptions'!D25)</x:f>
        <x:v>11.85188101264</x:v>
      </x:c>
      <x:c r="X15" s="206" t="n">
        <x:f>(W15+U15*'Assumptions'!D8*'Assumptions'!D26)*(('Assumptions'!D29/1000000)*'Assumptions'!D27+('Assumptions'!D30/1000000)*'Assumptions'!D28)*'Assumptions'!D31+(Q15+R15)*('Assumptions'!D6*'Assumptions'!D34+'Assumptions'!D7*'Assumptions'!D35+'Assumptions'!D8*'Assumptions'!D36)*(('Assumptions'!D32/1000000)*'Assumptions'!D27+('Assumptions'!D33/1000000)*'Assumptions'!D28)</x:f>
        <x:v>1.0001640863757668</x:v>
      </x:c>
      <x:c r="Y15" s="206" t="n">
        <x:f>(U15*('Assumptions'!D7*'Assumptions'!D9+'Assumptions'!D8*'Assumptions'!D10))*('Assumptions'!D37+'Assumptions'!D39)+U15*('Assumptions'!D7+'Assumptions'!D8)*'Assumptions'!D38+((U15*'Assumptions'!D6*'Assumptions'!D17+U15*'Assumptions'!D7*'Assumptions'!D18+U15*'Assumptions'!D8*'Assumptions'!D19)*'Assumptions'!D16)*'Assumptions'!D37+U15*('Assumptions'!D6*'Assumptions'!D17+'Assumptions'!D7*'Assumptions'!D18+'Assumptions'!D8*'Assumptions'!D19)*'Assumptions'!D38+(V15-U15*('Assumptions'!D7*'Assumptions'!D9+'Assumptions'!D8*'Assumptions'!D10)-(U15*'Assumptions'!D6*'Assumptions'!D17+U15*'Assumptions'!D7*'Assumptions'!D18+U15*'Assumptions'!D8*'Assumptions'!D19)*'Assumptions'!D16)*'Assumptions'!D37+W15*'Assumptions'!D38</x:f>
        <x:v>99.01403876452169</x:v>
      </x:c>
      <x:c r="Z15" s="206" t="n">
        <x:f>X15+Y15+'Assumptions'!D11+'Assumptions'!D12</x:f>
        <x:v>600.0142028508974</x:v>
      </x:c>
      <x:c r="AA15" s="206" t="n">
        <x:f>V15-Z15</x:f>
        <x:v>973.3107410104981</x:v>
      </x:c>
      <x:c r="AB15" s="185"/>
      <x:c r="AC15" s="204" t="str">
        <x:v>Dec 2026</x:v>
      </x:c>
      <x:c r="AD15" s="205" t="n">
        <x:f>AH14</x:f>
        <x:v>545.9713216666664</x:v>
      </x:c>
      <x:c r="AE15" s="205" t="n">
        <x:f>'Assumptions'!E12/'Assumptions'!E13</x:f>
        <x:v>16.666666666666668</x:v>
      </x:c>
      <x:c r="AF15" s="205" t="n">
        <x:f>AD15*'Assumptions'!E14</x:f>
        <x:v>8.189569824999996</x:v>
      </x:c>
      <x:c r="AG15" s="205" t="n">
        <x:f>AD15*'Assumptions'!E15</x:f>
        <x:v>13.649283041666662</x:v>
      </x:c>
      <x:c r="AH15" s="205" t="n">
        <x:f>AD15+AE15+AF15-AG15</x:f>
        <x:v>557.1782751166664</x:v>
      </x:c>
      <x:c r="AI15" s="205" t="n">
        <x:f>(AD15+AH15)/2</x:f>
        <x:v>551.5747983916665</x:v>
      </x:c>
      <x:c r="AJ15" s="224" t="n">
        <x:f>AI15*('Assumptions'!E7*'Assumptions'!E9+'Assumptions'!E8*'Assumptions'!E10)+(AI15*'Assumptions'!E6*'Assumptions'!E17+AI15*'Assumptions'!E7*'Assumptions'!E18+AI15*'Assumptions'!E8*'Assumptions'!E19)*'Assumptions'!E16+AI15*'Assumptions'!E6*'Assumptions'!E23*'Assumptions'!E20+AI15*'Assumptions'!E7*'Assumptions'!E24*'Assumptions'!E20*(1-'Assumptions'!E21)+AI15*'Assumptions'!E8*'Assumptions'!E25*'Assumptions'!E20*(1-'Assumptions'!E22)</x:f>
        <x:v>2408.046501275192</x:v>
      </x:c>
      <x:c r="AK15" s="205" t="n">
        <x:f>AI15*('Assumptions'!E6*'Assumptions'!E23+'Assumptions'!E7*'Assumptions'!E24+'Assumptions'!E8*'Assumptions'!E25)</x:f>
        <x:v>13.568740040434994</x:v>
      </x:c>
      <x:c r="AL15" s="206" t="n">
        <x:f>(AK15+AI15*'Assumptions'!E8*'Assumptions'!E26)*(('Assumptions'!E29/1000000)*'Assumptions'!E27+('Assumptions'!E30/1000000)*'Assumptions'!E28)*'Assumptions'!E31+(AE15+AF15)*('Assumptions'!E6*'Assumptions'!E34+'Assumptions'!E7*'Assumptions'!E35+'Assumptions'!E8*'Assumptions'!E36)*(('Assumptions'!E32/1000000)*'Assumptions'!E27+('Assumptions'!E33/1000000)*'Assumptions'!E28)</x:f>
        <x:v>1.4240036191906553</x:v>
      </x:c>
      <x:c r="AM15" s="206" t="n">
        <x:f>(AI15*('Assumptions'!E7*'Assumptions'!E9+'Assumptions'!E8*'Assumptions'!E10))*('Assumptions'!E37+'Assumptions'!E39)+AI15*('Assumptions'!E7+'Assumptions'!E8)*'Assumptions'!E38+((AI15*'Assumptions'!E6*'Assumptions'!E17+AI15*'Assumptions'!E7*'Assumptions'!E18+AI15*'Assumptions'!E8*'Assumptions'!E19)*'Assumptions'!E16)*'Assumptions'!E37+AI15*('Assumptions'!E6*'Assumptions'!E17+'Assumptions'!E7*'Assumptions'!E18+'Assumptions'!E8*'Assumptions'!E19)*'Assumptions'!E38+(AJ15-AI15*('Assumptions'!E7*'Assumptions'!E9+'Assumptions'!E8*'Assumptions'!E10)-(AI15*'Assumptions'!E6*'Assumptions'!E17+AI15*'Assumptions'!E7*'Assumptions'!E18+AI15*'Assumptions'!E8*'Assumptions'!E19)*'Assumptions'!E16)*'Assumptions'!E37+AK15*'Assumptions'!E38</x:f>
        <x:v>148.343953765252</x:v>
      </x:c>
      <x:c r="AN15" s="206" t="n">
        <x:f>AL15+AM15+'Assumptions'!E11+'Assumptions'!E12</x:f>
        <x:v>649.7679573844426</x:v>
      </x:c>
      <x:c r="AO15" s="206" t="n">
        <x:f>AJ15-AN15</x:f>
        <x:v>1758.2785438907495</x:v>
      </x:c>
    </x:row>
    <x:row r="16">
      <x:c r="A16" s="204" t="str">
        <x:v>Jan 2027</x:v>
      </x:c>
      <x:c r="B16" s="205" t="n">
        <x:f>F15</x:f>
        <x:v>465.0347215578125</x:v>
      </x:c>
      <x:c r="C16" s="205" t="n">
        <x:f>'Assumptions'!C12/'Assumptions'!C13</x:f>
        <x:v>10</x:v>
      </x:c>
      <x:c r="D16" s="205" t="n">
        <x:f>B16*'Assumptions'!C14</x:f>
        <x:v>2.3251736077890626</x:v>
      </x:c>
      <x:c r="E16" s="205" t="n">
        <x:f>B16*'Assumptions'!C15</x:f>
        <x:v>18.6013888623125</x:v>
      </x:c>
      <x:c r="F16" s="205" t="n">
        <x:f>B16+C16+D16-E16</x:f>
        <x:v>458.75850630328904</x:v>
      </x:c>
      <x:c r="G16" s="205" t="n">
        <x:f>(B16+F16)/2</x:f>
        <x:v>461.89661393055076</x:v>
      </x:c>
      <x:c r="H16" s="224" t="n">
        <x:f>G16*('Assumptions'!C7*'Assumptions'!C9+'Assumptions'!C8*'Assumptions'!C10)+(G16*'Assumptions'!C6*'Assumptions'!C17+G16*'Assumptions'!C7*'Assumptions'!C18+G16*'Assumptions'!C8*'Assumptions'!C19)*'Assumptions'!C16+G16*'Assumptions'!C6*'Assumptions'!C23*'Assumptions'!C20+G16*'Assumptions'!C7*'Assumptions'!C24*'Assumptions'!C20*(1-'Assumptions'!C21)+G16*'Assumptions'!C8*'Assumptions'!C25*'Assumptions'!C20*(1-'Assumptions'!C22)</x:f>
        <x:v>1147.712392155582</x:v>
      </x:c>
      <x:c r="I16" s="205" t="n">
        <x:f>G16*('Assumptions'!C6*'Assumptions'!C23+'Assumptions'!C7*'Assumptions'!C24+'Assumptions'!C8*'Assumptions'!C25)</x:f>
        <x:v>10.346484152044336</x:v>
      </x:c>
      <x:c r="J16" s="206" t="n">
        <x:f>(I16+G16*'Assumptions'!C8*'Assumptions'!C26)*(('Assumptions'!C29/1000000)*'Assumptions'!C27+('Assumptions'!C30/1000000)*'Assumptions'!C28)*'Assumptions'!C31+(C16+D16)*('Assumptions'!C6*'Assumptions'!C34+'Assumptions'!C7*'Assumptions'!C35+'Assumptions'!C8*'Assumptions'!C36)*(('Assumptions'!C32/1000000)*'Assumptions'!C27+('Assumptions'!C33/1000000)*'Assumptions'!C28)</x:f>
        <x:v>0.7899666153044933</x:v>
      </x:c>
      <x:c r="K16" s="206" t="n">
        <x:f>(G16*('Assumptions'!C7*'Assumptions'!C9+'Assumptions'!C8*'Assumptions'!C10))*('Assumptions'!C37+'Assumptions'!C39)+G16*('Assumptions'!C7+'Assumptions'!C8)*'Assumptions'!C38+((G16*'Assumptions'!C6*'Assumptions'!C17+G16*'Assumptions'!C7*'Assumptions'!C18+G16*'Assumptions'!C8*'Assumptions'!C19)*'Assumptions'!C16)*'Assumptions'!C37+G16*('Assumptions'!C6*'Assumptions'!C17+'Assumptions'!C7*'Assumptions'!C18+'Assumptions'!C8*'Assumptions'!C19)*'Assumptions'!C38+(H16-G16*('Assumptions'!C7*'Assumptions'!C9+'Assumptions'!C8*'Assumptions'!C10)-(G16*'Assumptions'!C6*'Assumptions'!C17+G16*'Assumptions'!C7*'Assumptions'!C18+G16*'Assumptions'!C8*'Assumptions'!C19)*'Assumptions'!C16)*'Assumptions'!C37+I16*'Assumptions'!C38</x:f>
        <x:v>72.95110962856062</x:v>
      </x:c>
      <x:c r="L16" s="206" t="n">
        <x:f>J16+K16+'Assumptions'!C11+'Assumptions'!C12</x:f>
        <x:v>573.7410762438651</x:v>
      </x:c>
      <x:c r="M16" s="206" t="n">
        <x:f>H16-L16</x:f>
        <x:v>573.9713159117168</x:v>
      </x:c>
      <x:c r="N16" s="185"/>
      <x:c r="O16" s="204" t="str">
        <x:v>Jan 2027</x:v>
      </x:c>
      <x:c r="P16" s="205" t="n">
        <x:f>T15</x:f>
        <x:v>512.0099004</x:v>
      </x:c>
      <x:c r="Q16" s="205" t="n">
        <x:f>'Assumptions'!D12/'Assumptions'!D13</x:f>
        <x:v>12.5</x:v>
      </x:c>
      <x:c r="R16" s="205" t="n">
        <x:f>P16*'Assumptions'!D14</x:f>
        <x:v>5.120099004</x:v>
      </x:c>
      <x:c r="S16" s="205" t="n">
        <x:f>P16*'Assumptions'!D15</x:f>
        <x:v>15.360297011999998</x:v>
      </x:c>
      <x:c r="T16" s="205" t="n">
        <x:f>P16+Q16+R16-S16</x:f>
        <x:v>514.269702392</x:v>
      </x:c>
      <x:c r="U16" s="205" t="n">
        <x:f>(P16+T16)/2</x:f>
        <x:v>513.1398013959999</x:v>
      </x:c>
      <x:c r="V16" s="224" t="n">
        <x:f>U16*('Assumptions'!D7*'Assumptions'!D9+'Assumptions'!D8*'Assumptions'!D10)+(U16*'Assumptions'!D6*'Assumptions'!D17+U16*'Assumptions'!D7*'Assumptions'!D18+U16*'Assumptions'!D8*'Assumptions'!D19)*'Assumptions'!D16+U16*'Assumptions'!D6*'Assumptions'!D23*'Assumptions'!D20+U16*'Assumptions'!D7*'Assumptions'!D24*'Assumptions'!D20*(1-'Assumptions'!D21)+U16*'Assumptions'!D8*'Assumptions'!D25*'Assumptions'!D20*(1-'Assumptions'!D22)</x:f>
        <x:v>1580.3556449841674</x:v>
      </x:c>
      <x:c r="W16" s="205" t="n">
        <x:f>U16*('Assumptions'!D6*'Assumptions'!D23+'Assumptions'!D7*'Assumptions'!D24+'Assumptions'!D8*'Assumptions'!D25)</x:f>
        <x:v>11.904843392387198</x:v>
      </x:c>
      <x:c r="X16" s="206" t="n">
        <x:f>(W16+U16*'Assumptions'!D8*'Assumptions'!D26)*(('Assumptions'!D29/1000000)*'Assumptions'!D27+('Assumptions'!D30/1000000)*'Assumptions'!D28)*'Assumptions'!D31+(Q16+R16)*('Assumptions'!D6*'Assumptions'!D34+'Assumptions'!D7*'Assumptions'!D35+'Assumptions'!D8*'Assumptions'!D36)*(('Assumptions'!D32/1000000)*'Assumptions'!D27+('Assumptions'!D33/1000000)*'Assumptions'!D28)</x:f>
        <x:v>1.0043113879815844</x:v>
      </x:c>
      <x:c r="Y16" s="206" t="n">
        <x:f>(U16*('Assumptions'!D7*'Assumptions'!D9+'Assumptions'!D8*'Assumptions'!D10))*('Assumptions'!D37+'Assumptions'!D39)+U16*('Assumptions'!D7+'Assumptions'!D8)*'Assumptions'!D38+((U16*'Assumptions'!D6*'Assumptions'!D17+U16*'Assumptions'!D7*'Assumptions'!D18+U16*'Assumptions'!D8*'Assumptions'!D19)*'Assumptions'!D16)*'Assumptions'!D37+U16*('Assumptions'!D6*'Assumptions'!D17+'Assumptions'!D7*'Assumptions'!D18+'Assumptions'!D8*'Assumptions'!D19)*'Assumptions'!D38+(V16-U16*('Assumptions'!D7*'Assumptions'!D9+'Assumptions'!D8*'Assumptions'!D10)-(U16*'Assumptions'!D6*'Assumptions'!D17+U16*'Assumptions'!D7*'Assumptions'!D18+U16*'Assumptions'!D8*'Assumptions'!D19)*'Assumptions'!D16)*'Assumptions'!D37+W16*'Assumptions'!D38</x:f>
        <x:v>99.45650178923123</x:v>
      </x:c>
      <x:c r="Z16" s="206" t="n">
        <x:f>X16+Y16+'Assumptions'!D11+'Assumptions'!D12</x:f>
        <x:v>600.4608131772128</x:v>
      </x:c>
      <x:c r="AA16" s="206" t="n">
        <x:f>V16-Z16</x:f>
        <x:v>979.8948318069546</x:v>
      </x:c>
      <x:c r="AB16" s="185"/>
      <x:c r="AC16" s="204" t="str">
        <x:v>Jan 2027</x:v>
      </x:c>
      <x:c r="AD16" s="205" t="n">
        <x:f>AH15</x:f>
        <x:v>557.1782751166664</x:v>
      </x:c>
      <x:c r="AE16" s="205" t="n">
        <x:f>'Assumptions'!E12/'Assumptions'!E13</x:f>
        <x:v>16.666666666666668</x:v>
      </x:c>
      <x:c r="AF16" s="205" t="n">
        <x:f>AD16*'Assumptions'!E14</x:f>
        <x:v>8.357674126749997</x:v>
      </x:c>
      <x:c r="AG16" s="205" t="n">
        <x:f>AD16*'Assumptions'!E15</x:f>
        <x:v>13.929456877916662</x:v>
      </x:c>
      <x:c r="AH16" s="205" t="n">
        <x:f>AD16+AE16+AF16-AG16</x:f>
        <x:v>568.2731590321664</x:v>
      </x:c>
      <x:c r="AI16" s="205" t="n">
        <x:f>(AD16+AH16)/2</x:f>
        <x:v>562.7257170744165</x:v>
      </x:c>
      <x:c r="AJ16" s="224" t="n">
        <x:f>AI16*('Assumptions'!E7*'Assumptions'!E9+'Assumptions'!E8*'Assumptions'!E10)+(AI16*'Assumptions'!E6*'Assumptions'!E17+AI16*'Assumptions'!E7*'Assumptions'!E18+AI16*'Assumptions'!E8*'Assumptions'!E19)*'Assumptions'!E16+AI16*'Assumptions'!E6*'Assumptions'!E23*'Assumptions'!E20+AI16*'Assumptions'!E7*'Assumptions'!E24*'Assumptions'!E20*(1-'Assumptions'!E21)+AI16*'Assumptions'!E8*'Assumptions'!E25*'Assumptions'!E20*(1-'Assumptions'!E22)</x:f>
        <x:v>2456.728802929107</x:v>
      </x:c>
      <x:c r="AK16" s="205" t="n">
        <x:f>AI16*('Assumptions'!E6*'Assumptions'!E23+'Assumptions'!E7*'Assumptions'!E24+'Assumptions'!E8*'Assumptions'!E25)</x:f>
        <x:v>13.843052640030644</x:v>
      </x:c>
      <x:c r="AL16" s="206" t="n">
        <x:f>(AK16+AI16*'Assumptions'!E8*'Assumptions'!E26)*(('Assumptions'!E29/1000000)*'Assumptions'!E27+('Assumptions'!E30/1000000)*'Assumptions'!E28)*'Assumptions'!E31+(AE16+AF16)*('Assumptions'!E6*'Assumptions'!E34+'Assumptions'!E7*'Assumptions'!E35+'Assumptions'!E8*'Assumptions'!E36)*(('Assumptions'!E32/1000000)*'Assumptions'!E27+('Assumptions'!E33/1000000)*'Assumptions'!E28)</x:f>
        <x:v>1.4507519857765265</x:v>
      </x:c>
      <x:c r="AM16" s="206" t="n">
        <x:f>(AI16*('Assumptions'!E7*'Assumptions'!E9+'Assumptions'!E8*'Assumptions'!E10))*('Assumptions'!E37+'Assumptions'!E39)+AI16*('Assumptions'!E7+'Assumptions'!E8)*'Assumptions'!E38+((AI16*'Assumptions'!E6*'Assumptions'!E17+AI16*'Assumptions'!E7*'Assumptions'!E18+AI16*'Assumptions'!E8*'Assumptions'!E19)*'Assumptions'!E16)*'Assumptions'!E37+AI16*('Assumptions'!E6*'Assumptions'!E17+'Assumptions'!E7*'Assumptions'!E18+'Assumptions'!E8*'Assumptions'!E19)*'Assumptions'!E38+(AJ16-AI16*('Assumptions'!E7*'Assumptions'!E9+'Assumptions'!E8*'Assumptions'!E10)-(AI16*'Assumptions'!E6*'Assumptions'!E17+AI16*'Assumptions'!E7*'Assumptions'!E18+AI16*'Assumptions'!E8*'Assumptions'!E19)*'Assumptions'!E16)*'Assumptions'!E37+AK16*'Assumptions'!E38</x:f>
        <x:v>151.3429511275995</x:v>
      </x:c>
      <x:c r="AN16" s="206" t="n">
        <x:f>AL16+AM16+'Assumptions'!E11+'Assumptions'!E12</x:f>
        <x:v>652.7937031133761</x:v>
      </x:c>
      <x:c r="AO16" s="206" t="n">
        <x:f>AJ16-AN16</x:f>
        <x:v>1803.935099815731</x:v>
      </x:c>
    </x:row>
    <x:row r="17">
      <x:c r="A17" s="204" t="str">
        <x:v>Feb 2027</x:v>
      </x:c>
      <x:c r="B17" s="205" t="n">
        <x:f>F16</x:f>
        <x:v>458.75850630328904</x:v>
      </x:c>
      <x:c r="C17" s="205" t="n">
        <x:f>'Assumptions'!C12/'Assumptions'!C13</x:f>
        <x:v>10</x:v>
      </x:c>
      <x:c r="D17" s="205" t="n">
        <x:f>B17*'Assumptions'!C14</x:f>
        <x:v>2.2937925315164454</x:v>
      </x:c>
      <x:c r="E17" s="205" t="n">
        <x:f>B17*'Assumptions'!C15</x:f>
        <x:v>18.350340252131563</x:v>
      </x:c>
      <x:c r="F17" s="205" t="n">
        <x:f>B17+C17+D17-E17</x:f>
        <x:v>452.7019585826739</x:v>
      </x:c>
      <x:c r="G17" s="205" t="n">
        <x:f>(B17+F17)/2</x:f>
        <x:v>455.73023244298145</x:v>
      </x:c>
      <x:c r="H17" s="224" t="n">
        <x:f>G17*('Assumptions'!C7*'Assumptions'!C9+'Assumptions'!C8*'Assumptions'!C10)+(G17*'Assumptions'!C6*'Assumptions'!C17+G17*'Assumptions'!C7*'Assumptions'!C18+G17*'Assumptions'!C8*'Assumptions'!C19)*'Assumptions'!C16+G17*'Assumptions'!C6*'Assumptions'!C23*'Assumptions'!C20+G17*'Assumptions'!C7*'Assumptions'!C24*'Assumptions'!C20*(1-'Assumptions'!C21)+G17*'Assumptions'!C8*'Assumptions'!C25*'Assumptions'!C20*(1-'Assumptions'!C22)</x:f>
        <x:v>1132.3902784301363</x:v>
      </x:c>
      <x:c r="I17" s="205" t="n">
        <x:f>G17*('Assumptions'!C6*'Assumptions'!C23+'Assumptions'!C7*'Assumptions'!C24+'Assumptions'!C8*'Assumptions'!C25)</x:f>
        <x:v>10.208357206722784</x:v>
      </x:c>
      <x:c r="J17" s="206" t="n">
        <x:f>(I17+G17*'Assumptions'!C8*'Assumptions'!C26)*(('Assumptions'!C29/1000000)*'Assumptions'!C27+('Assumptions'!C30/1000000)*'Assumptions'!C28)*'Assumptions'!C31+(C17+D17)*('Assumptions'!C6*'Assumptions'!C34+'Assumptions'!C7*'Assumptions'!C35+'Assumptions'!C8*'Assumptions'!C36)*(('Assumptions'!C32/1000000)*'Assumptions'!C27+('Assumptions'!C33/1000000)*'Assumptions'!C28)</x:f>
        <x:v>0.7801740837688362</x:v>
      </x:c>
      <x:c r="K17" s="206" t="n">
        <x:f>(G17*('Assumptions'!C7*'Assumptions'!C9+'Assumptions'!C8*'Assumptions'!C10))*('Assumptions'!C37+'Assumptions'!C39)+G17*('Assumptions'!C7+'Assumptions'!C8)*'Assumptions'!C38+((G17*'Assumptions'!C6*'Assumptions'!C17+G17*'Assumptions'!C7*'Assumptions'!C18+G17*'Assumptions'!C8*'Assumptions'!C19)*'Assumptions'!C16)*'Assumptions'!C37+G17*('Assumptions'!C6*'Assumptions'!C17+'Assumptions'!C7*'Assumptions'!C18+'Assumptions'!C8*'Assumptions'!C19)*'Assumptions'!C38+(H17-G17*('Assumptions'!C7*'Assumptions'!C9+'Assumptions'!C8*'Assumptions'!C10)-(G17*'Assumptions'!C6*'Assumptions'!C17+G17*'Assumptions'!C7*'Assumptions'!C18+G17*'Assumptions'!C8*'Assumptions'!C19)*'Assumptions'!C16)*'Assumptions'!C37+I17*'Assumptions'!C38</x:f>
        <x:v>71.97720257156097</x:v>
      </x:c>
      <x:c r="L17" s="206" t="n">
        <x:f>J17+K17+'Assumptions'!C11+'Assumptions'!C12</x:f>
        <x:v>572.7573766553298</x:v>
      </x:c>
      <x:c r="M17" s="206" t="n">
        <x:f>H17-L17</x:f>
        <x:v>559.6329017748064</x:v>
      </x:c>
      <x:c r="N17" s="185"/>
      <x:c r="O17" s="204" t="str">
        <x:v>Feb 2027</x:v>
      </x:c>
      <x:c r="P17" s="205" t="n">
        <x:f>T16</x:f>
        <x:v>514.269702392</x:v>
      </x:c>
      <x:c r="Q17" s="205" t="n">
        <x:f>'Assumptions'!D12/'Assumptions'!D13</x:f>
        <x:v>12.5</x:v>
      </x:c>
      <x:c r="R17" s="205" t="n">
        <x:f>P17*'Assumptions'!D14</x:f>
        <x:v>5.14269702392</x:v>
      </x:c>
      <x:c r="S17" s="205" t="n">
        <x:f>P17*'Assumptions'!D15</x:f>
        <x:v>15.428091071759999</x:v>
      </x:c>
      <x:c r="T17" s="205" t="n">
        <x:f>P17+Q17+R17-S17</x:f>
        <x:v>516.48430834416</x:v>
      </x:c>
      <x:c r="U17" s="205" t="n">
        <x:f>(P17+T17)/2</x:f>
        <x:v>515.3770053680801</x:v>
      </x:c>
      <x:c r="V17" s="224" t="n">
        <x:f>U17*('Assumptions'!D7*'Assumptions'!D9+'Assumptions'!D8*'Assumptions'!D10)+(U17*'Assumptions'!D6*'Assumptions'!D17+U17*'Assumptions'!D7*'Assumptions'!D18+U17*'Assumptions'!D8*'Assumptions'!D19)*'Assumptions'!D16+U17*'Assumptions'!D6*'Assumptions'!D23*'Assumptions'!D20+U17*'Assumptions'!D7*'Assumptions'!D24*'Assumptions'!D20*(1-'Assumptions'!D21)+U17*'Assumptions'!D8*'Assumptions'!D25*'Assumptions'!D20*(1-'Assumptions'!D22)</x:f>
        <x:v>1587.2457320844842</x:v>
      </x:c>
      <x:c r="W17" s="205" t="n">
        <x:f>U17*('Assumptions'!D6*'Assumptions'!D23+'Assumptions'!D7*'Assumptions'!D24+'Assumptions'!D8*'Assumptions'!D25)</x:f>
        <x:v>11.956746524539456</x:v>
      </x:c>
      <x:c r="X17" s="206" t="n">
        <x:f>(W17+U17*'Assumptions'!D8*'Assumptions'!D26)*(('Assumptions'!D29/1000000)*'Assumptions'!D27+('Assumptions'!D30/1000000)*'Assumptions'!D28)*'Assumptions'!D31+(Q17+R17)*('Assumptions'!D6*'Assumptions'!D34+'Assumptions'!D7*'Assumptions'!D35+'Assumptions'!D8*'Assumptions'!D36)*(('Assumptions'!D32/1000000)*'Assumptions'!D27+('Assumptions'!D33/1000000)*'Assumptions'!D28)</x:f>
        <x:v>1.0083757435552865</x:v>
      </x:c>
      <x:c r="Y17" s="206" t="n">
        <x:f>(U17*('Assumptions'!D7*'Assumptions'!D9+'Assumptions'!D8*'Assumptions'!D10))*('Assumptions'!D37+'Assumptions'!D39)+U17*('Assumptions'!D7+'Assumptions'!D8)*'Assumptions'!D38+((U17*'Assumptions'!D6*'Assumptions'!D17+U17*'Assumptions'!D7*'Assumptions'!D18+U17*'Assumptions'!D8*'Assumptions'!D19)*'Assumptions'!D16)*'Assumptions'!D37+U17*('Assumptions'!D6*'Assumptions'!D17+'Assumptions'!D7*'Assumptions'!D18+'Assumptions'!D8*'Assumptions'!D19)*'Assumptions'!D38+(V17-U17*('Assumptions'!D7*'Assumptions'!D9+'Assumptions'!D8*'Assumptions'!D10)-(U17*'Assumptions'!D6*'Assumptions'!D17+U17*'Assumptions'!D7*'Assumptions'!D18+U17*'Assumptions'!D8*'Assumptions'!D19)*'Assumptions'!D16)*'Assumptions'!D37+W17*'Assumptions'!D38</x:f>
        <x:v>99.89011555344662</x:v>
      </x:c>
      <x:c r="Z17" s="206" t="n">
        <x:f>X17+Y17+'Assumptions'!D11+'Assumptions'!D12</x:f>
        <x:v>600.8984912970019</x:v>
      </x:c>
      <x:c r="AA17" s="206" t="n">
        <x:f>V17-Z17</x:f>
        <x:v>986.3472407874823</x:v>
      </x:c>
      <x:c r="AB17" s="185"/>
      <x:c r="AC17" s="204" t="str">
        <x:v>Feb 2027</x:v>
      </x:c>
      <x:c r="AD17" s="205" t="n">
        <x:f>AH16</x:f>
        <x:v>568.2731590321664</x:v>
      </x:c>
      <x:c r="AE17" s="205" t="n">
        <x:f>'Assumptions'!E12/'Assumptions'!E13</x:f>
        <x:v>16.666666666666668</x:v>
      </x:c>
      <x:c r="AF17" s="205" t="n">
        <x:f>AD17*'Assumptions'!E14</x:f>
        <x:v>8.524097385482495</x:v>
      </x:c>
      <x:c r="AG17" s="205" t="n">
        <x:f>AD17*'Assumptions'!E15</x:f>
        <x:v>14.20682897580416</x:v>
      </x:c>
      <x:c r="AH17" s="205" t="n">
        <x:f>AD17+AE17+AF17-AG17</x:f>
        <x:v>579.2570941085114</x:v>
      </x:c>
      <x:c r="AI17" s="205" t="n">
        <x:f>(AD17+AH17)/2</x:f>
        <x:v>573.7651265703389</x:v>
      </x:c>
      <x:c r="AJ17" s="224" t="n">
        <x:f>AI17*('Assumptions'!E7*'Assumptions'!E9+'Assumptions'!E8*'Assumptions'!E10)+(AI17*'Assumptions'!E6*'Assumptions'!E17+AI17*'Assumptions'!E7*'Assumptions'!E18+AI17*'Assumptions'!E8*'Assumptions'!E19)*'Assumptions'!E16+AI17*'Assumptions'!E6*'Assumptions'!E23*'Assumptions'!E20+AI17*'Assumptions'!E7*'Assumptions'!E24*'Assumptions'!E20*(1-'Assumptions'!E21)+AI17*'Assumptions'!E8*'Assumptions'!E25*'Assumptions'!E20*(1-'Assumptions'!E22)</x:f>
        <x:v>2504.9242815664825</x:v>
      </x:c>
      <x:c r="AK17" s="205" t="n">
        <x:f>AI17*('Assumptions'!E6*'Assumptions'!E23+'Assumptions'!E7*'Assumptions'!E24+'Assumptions'!E8*'Assumptions'!E25)</x:f>
        <x:v>14.114622113630336</x:v>
      </x:c>
      <x:c r="AL17" s="206" t="n">
        <x:f>(AK17+AI17*'Assumptions'!E8*'Assumptions'!E26)*(('Assumptions'!E29/1000000)*'Assumptions'!E27+('Assumptions'!E30/1000000)*'Assumptions'!E28)*'Assumptions'!E31+(AE17+AF17)*('Assumptions'!E6*'Assumptions'!E34+'Assumptions'!E7*'Assumptions'!E35+'Assumptions'!E8*'Assumptions'!E36)*(('Assumptions'!E32/1000000)*'Assumptions'!E27+('Assumptions'!E33/1000000)*'Assumptions'!E28)</x:f>
        <x:v>1.477232868696539</x:v>
      </x:c>
      <x:c r="AM17" s="206" t="n">
        <x:f>(AI17*('Assumptions'!E7*'Assumptions'!E9+'Assumptions'!E8*'Assumptions'!E10))*('Assumptions'!E37+'Assumptions'!E39)+AI17*('Assumptions'!E7+'Assumptions'!E8)*'Assumptions'!E38+((AI17*'Assumptions'!E6*'Assumptions'!E17+AI17*'Assumptions'!E7*'Assumptions'!E18+AI17*'Assumptions'!E8*'Assumptions'!E19)*'Assumptions'!E16)*'Assumptions'!E37+AI17*('Assumptions'!E6*'Assumptions'!E17+'Assumptions'!E7*'Assumptions'!E18+'Assumptions'!E8*'Assumptions'!E19)*'Assumptions'!E38+(AJ17-AI17*('Assumptions'!E7*'Assumptions'!E9+'Assumptions'!E8*'Assumptions'!E10)-(AI17*'Assumptions'!E6*'Assumptions'!E17+AI17*'Assumptions'!E7*'Assumptions'!E18+AI17*'Assumptions'!E8*'Assumptions'!E19)*'Assumptions'!E16)*'Assumptions'!E37+AK17*'Assumptions'!E38</x:f>
        <x:v>154.31195851632344</x:v>
      </x:c>
      <x:c r="AN17" s="206" t="n">
        <x:f>AL17+AM17+'Assumptions'!E11+'Assumptions'!E12</x:f>
        <x:v>655.78919138502</x:v>
      </x:c>
      <x:c r="AO17" s="206" t="n">
        <x:f>AJ17-AN17</x:f>
        <x:v>1849.1350901814626</x:v>
      </x:c>
    </x:row>
    <x:row r="18">
      <x:c r="A18" s="204" t="str">
        <x:v>Mar 2027</x:v>
      </x:c>
      <x:c r="B18" s="205" t="n">
        <x:f>F17</x:f>
        <x:v>452.7019585826739</x:v>
      </x:c>
      <x:c r="C18" s="205" t="n">
        <x:f>'Assumptions'!C12/'Assumptions'!C13</x:f>
        <x:v>10</x:v>
      </x:c>
      <x:c r="D18" s="205" t="n">
        <x:f>B18*'Assumptions'!C14</x:f>
        <x:v>2.2635097929133696</x:v>
      </x:c>
      <x:c r="E18" s="205" t="n">
        <x:f>B18*'Assumptions'!C15</x:f>
        <x:v>18.108078343306957</x:v>
      </x:c>
      <x:c r="F18" s="205" t="n">
        <x:f>B18+C18+D18-E18</x:f>
        <x:v>446.85739003228036</x:v>
      </x:c>
      <x:c r="G18" s="205" t="n">
        <x:f>(B18+F18)/2</x:f>
        <x:v>449.77967430747714</x:v>
      </x:c>
      <x:c r="H18" s="224" t="n">
        <x:f>G18*('Assumptions'!C7*'Assumptions'!C9+'Assumptions'!C8*'Assumptions'!C10)+(G18*'Assumptions'!C6*'Assumptions'!C17+G18*'Assumptions'!C7*'Assumptions'!C18+G18*'Assumptions'!C8*'Assumptions'!C19)*'Assumptions'!C16+G18*'Assumptions'!C6*'Assumptions'!C23*'Assumptions'!C20+G18*'Assumptions'!C7*'Assumptions'!C24*'Assumptions'!C20*(1-'Assumptions'!C21)+G18*'Assumptions'!C8*'Assumptions'!C25*'Assumptions'!C20*(1-'Assumptions'!C22)</x:f>
        <x:v>1117.6044386850817</x:v>
      </x:c>
      <x:c r="I18" s="205" t="n">
        <x:f>G18*('Assumptions'!C6*'Assumptions'!C23+'Assumptions'!C7*'Assumptions'!C24+'Assumptions'!C8*'Assumptions'!C25)</x:f>
        <x:v>10.075064704487488</x:v>
      </x:c>
      <x:c r="J18" s="206" t="n">
        <x:f>(I18+G18*'Assumptions'!C8*'Assumptions'!C26)*(('Assumptions'!C29/1000000)*'Assumptions'!C27+('Assumptions'!C30/1000000)*'Assumptions'!C28)*'Assumptions'!C31+(C18+D18)*('Assumptions'!C6*'Assumptions'!C34+'Assumptions'!C7*'Assumptions'!C35+'Assumptions'!C8*'Assumptions'!C36)*(('Assumptions'!C32/1000000)*'Assumptions'!C27+('Assumptions'!C33/1000000)*'Assumptions'!C28)</x:f>
        <x:v>0.770724290836927</x:v>
      </x:c>
      <x:c r="K18" s="206" t="n">
        <x:f>(G18*('Assumptions'!C7*'Assumptions'!C9+'Assumptions'!C8*'Assumptions'!C10))*('Assumptions'!C37+'Assumptions'!C39)+G18*('Assumptions'!C7+'Assumptions'!C8)*'Assumptions'!C38+((G18*'Assumptions'!C6*'Assumptions'!C17+G18*'Assumptions'!C7*'Assumptions'!C18+G18*'Assumptions'!C8*'Assumptions'!C19)*'Assumptions'!C16)*'Assumptions'!C37+G18*('Assumptions'!C6*'Assumptions'!C17+'Assumptions'!C7*'Assumptions'!C18+'Assumptions'!C8*'Assumptions'!C19)*'Assumptions'!C38+(H18-G18*('Assumptions'!C7*'Assumptions'!C9+'Assumptions'!C8*'Assumptions'!C10)-(G18*'Assumptions'!C6*'Assumptions'!C17+G18*'Assumptions'!C7*'Assumptions'!C18+G18*'Assumptions'!C8*'Assumptions'!C19)*'Assumptions'!C16)*'Assumptions'!C37+I18*'Assumptions'!C38</x:f>
        <x:v>71.03738226155636</x:v>
      </x:c>
      <x:c r="L18" s="206" t="n">
        <x:f>J18+K18+'Assumptions'!C11+'Assumptions'!C12</x:f>
        <x:v>571.8081065523933</x:v>
      </x:c>
      <x:c r="M18" s="206" t="n">
        <x:f>H18-L18</x:f>
        <x:v>545.7963321326885</x:v>
      </x:c>
      <x:c r="N18" s="185"/>
      <x:c r="O18" s="204" t="str">
        <x:v>Mar 2027</x:v>
      </x:c>
      <x:c r="P18" s="205" t="n">
        <x:f>T17</x:f>
        <x:v>516.48430834416</x:v>
      </x:c>
      <x:c r="Q18" s="205" t="n">
        <x:f>'Assumptions'!D12/'Assumptions'!D13</x:f>
        <x:v>12.5</x:v>
      </x:c>
      <x:c r="R18" s="205" t="n">
        <x:f>P18*'Assumptions'!D14</x:f>
        <x:v>5.164843083441601</x:v>
      </x:c>
      <x:c r="S18" s="205" t="n">
        <x:f>P18*'Assumptions'!D15</x:f>
        <x:v>15.494529250324799</x:v>
      </x:c>
      <x:c r="T18" s="205" t="n">
        <x:f>P18+Q18+R18-S18</x:f>
        <x:v>518.6546221772768</x:v>
      </x:c>
      <x:c r="U18" s="205" t="n">
        <x:f>(P18+T18)/2</x:f>
        <x:v>517.5694652607184</x:v>
      </x:c>
      <x:c r="V18" s="224" t="n">
        <x:f>U18*('Assumptions'!D7*'Assumptions'!D9+'Assumptions'!D8*'Assumptions'!D10)+(U18*'Assumptions'!D6*'Assumptions'!D17+U18*'Assumptions'!D7*'Assumptions'!D18+U18*'Assumptions'!D8*'Assumptions'!D19)*'Assumptions'!D16+U18*'Assumptions'!D6*'Assumptions'!D23*'Assumptions'!D20+U18*'Assumptions'!D7*'Assumptions'!D24*'Assumptions'!D20*(1-'Assumptions'!D21)+U18*'Assumptions'!D8*'Assumptions'!D25*'Assumptions'!D20*(1-'Assumptions'!D22)</x:f>
        <x:v>1593.9980174427947</x:v>
      </x:c>
      <x:c r="W18" s="205" t="n">
        <x:f>U18*('Assumptions'!D6*'Assumptions'!D23+'Assumptions'!D7*'Assumptions'!D24+'Assumptions'!D8*'Assumptions'!D25)</x:f>
        <x:v>12.007611594048667</x:v>
      </x:c>
      <x:c r="X18" s="206" t="n">
        <x:f>(W18+U18*'Assumptions'!D8*'Assumptions'!D26)*(('Assumptions'!D29/1000000)*'Assumptions'!D27+('Assumptions'!D30/1000000)*'Assumptions'!D28)*'Assumptions'!D31+(Q18+R18)*('Assumptions'!D6*'Assumptions'!D34+'Assumptions'!D7*'Assumptions'!D35+'Assumptions'!D8*'Assumptions'!D36)*(('Assumptions'!D32/1000000)*'Assumptions'!D27+('Assumptions'!D33/1000000)*'Assumptions'!D28)</x:f>
        <x:v>1.012358812017514</x:v>
      </x:c>
      <x:c r="Y18" s="206" t="n">
        <x:f>(U18*('Assumptions'!D7*'Assumptions'!D9+'Assumptions'!D8*'Assumptions'!D10))*('Assumptions'!D37+'Assumptions'!D39)+U18*('Assumptions'!D7+'Assumptions'!D8)*'Assumptions'!D38+((U18*'Assumptions'!D6*'Assumptions'!D17+U18*'Assumptions'!D7*'Assumptions'!D18+U18*'Assumptions'!D8*'Assumptions'!D19)*'Assumptions'!D16)*'Assumptions'!D37+U18*('Assumptions'!D6*'Assumptions'!D17+'Assumptions'!D7*'Assumptions'!D18+'Assumptions'!D8*'Assumptions'!D19)*'Assumptions'!D38+(V18-U18*('Assumptions'!D7*'Assumptions'!D9+'Assumptions'!D8*'Assumptions'!D10)-(U18*'Assumptions'!D6*'Assumptions'!D17+U18*'Assumptions'!D7*'Assumptions'!D18+U18*'Assumptions'!D8*'Assumptions'!D19)*'Assumptions'!D16)*'Assumptions'!D37+W18*'Assumptions'!D38</x:f>
        <x:v>100.31505704237769</x:v>
      </x:c>
      <x:c r="Z18" s="206" t="n">
        <x:f>X18+Y18+'Assumptions'!D11+'Assumptions'!D12</x:f>
        <x:v>601.3274158543952</x:v>
      </x:c>
      <x:c r="AA18" s="206" t="n">
        <x:f>V18-Z18</x:f>
        <x:v>992.6706015883994</x:v>
      </x:c>
      <x:c r="AB18" s="185"/>
      <x:c r="AC18" s="204" t="str">
        <x:v>Mar 2027</x:v>
      </x:c>
      <x:c r="AD18" s="205" t="n">
        <x:f>AH17</x:f>
        <x:v>579.2570941085114</x:v>
      </x:c>
      <x:c r="AE18" s="205" t="n">
        <x:f>'Assumptions'!E12/'Assumptions'!E13</x:f>
        <x:v>16.666666666666668</x:v>
      </x:c>
      <x:c r="AF18" s="205" t="n">
        <x:f>AD18*'Assumptions'!E14</x:f>
        <x:v>8.68885641162767</x:v>
      </x:c>
      <x:c r="AG18" s="205" t="n">
        <x:f>AD18*'Assumptions'!E15</x:f>
        <x:v>14.481427352712785</x:v>
      </x:c>
      <x:c r="AH18" s="205" t="n">
        <x:f>AD18+AE18+AF18-AG18</x:f>
        <x:v>590.1311898340929</x:v>
      </x:c>
      <x:c r="AI18" s="205" t="n">
        <x:f>(AD18+AH18)/2</x:f>
        <x:v>584.6941419713021</x:v>
      </x:c>
      <x:c r="AJ18" s="224" t="n">
        <x:f>AI18*('Assumptions'!E7*'Assumptions'!E9+'Assumptions'!E8*'Assumptions'!E10)+(AI18*'Assumptions'!E6*'Assumptions'!E17+AI18*'Assumptions'!E7*'Assumptions'!E18+AI18*'Assumptions'!E8*'Assumptions'!E19)*'Assumptions'!E16+AI18*'Assumptions'!E6*'Assumptions'!E23*'Assumptions'!E20+AI18*'Assumptions'!E7*'Assumptions'!E24*'Assumptions'!E20*(1-'Assumptions'!E21)+AI18*'Assumptions'!E8*'Assumptions'!E25*'Assumptions'!E20*(1-'Assumptions'!E22)</x:f>
        <x:v>2552.637805417484</x:v>
      </x:c>
      <x:c r="AK18" s="205" t="n">
        <x:f>AI18*('Assumptions'!E6*'Assumptions'!E23+'Assumptions'!E7*'Assumptions'!E24+'Assumptions'!E8*'Assumptions'!E25)</x:f>
        <x:v>14.38347589249403</x:v>
      </x:c>
      <x:c r="AL18" s="206" t="n">
        <x:f>(AK18+AI18*'Assumptions'!E8*'Assumptions'!E26)*(('Assumptions'!E29/1000000)*'Assumptions'!E27+('Assumptions'!E30/1000000)*'Assumptions'!E28)*'Assumptions'!E31+(AE18+AF18)*('Assumptions'!E6*'Assumptions'!E34+'Assumptions'!E7*'Assumptions'!E35+'Assumptions'!E8*'Assumptions'!E36)*(('Assumptions'!E32/1000000)*'Assumptions'!E27+('Assumptions'!E33/1000000)*'Assumptions'!E28)</x:f>
        <x:v>1.5034489427873512</x:v>
      </x:c>
      <x:c r="AM18" s="206" t="n">
        <x:f>(AI18*('Assumptions'!E7*'Assumptions'!E9+'Assumptions'!E8*'Assumptions'!E10))*('Assumptions'!E37+'Assumptions'!E39)+AI18*('Assumptions'!E7+'Assumptions'!E8)*'Assumptions'!E38+((AI18*'Assumptions'!E6*'Assumptions'!E17+AI18*'Assumptions'!E7*'Assumptions'!E18+AI18*'Assumptions'!E8*'Assumptions'!E19)*'Assumptions'!E16)*'Assumptions'!E37+AI18*('Assumptions'!E6*'Assumptions'!E17+'Assumptions'!E7*'Assumptions'!E18+'Assumptions'!E8*'Assumptions'!E19)*'Assumptions'!E38+(AJ18-AI18*('Assumptions'!E7*'Assumptions'!E9+'Assumptions'!E8*'Assumptions'!E10)-(AI18*'Assumptions'!E6*'Assumptions'!E17+AI18*'Assumptions'!E7*'Assumptions'!E18+AI18*'Assumptions'!E8*'Assumptions'!E19)*'Assumptions'!E16)*'Assumptions'!E37+AK18*'Assumptions'!E38</x:f>
        <x:v>157.25127583116023</x:v>
      </x:c>
      <x:c r="AN18" s="206" t="n">
        <x:f>AL18+AM18+'Assumptions'!E11+'Assumptions'!E12</x:f>
        <x:v>658.7547247739476</x:v>
      </x:c>
      <x:c r="AO18" s="206" t="n">
        <x:f>AJ18-AN18</x:f>
        <x:v>1893.8830806435362</x:v>
      </x:c>
    </x:row>
    <x:row r="19">
      <x:c r="A19" s="204" t="str">
        <x:v>Apr 2027</x:v>
      </x:c>
      <x:c r="B19" s="205" t="n">
        <x:f>F18</x:f>
        <x:v>446.85739003228036</x:v>
      </x:c>
      <x:c r="C19" s="205" t="n">
        <x:f>'Assumptions'!C12/'Assumptions'!C13</x:f>
        <x:v>10</x:v>
      </x:c>
      <x:c r="D19" s="205" t="n">
        <x:f>B19*'Assumptions'!C14</x:f>
        <x:v>2.234286950161402</x:v>
      </x:c>
      <x:c r="E19" s="205" t="n">
        <x:f>B19*'Assumptions'!C15</x:f>
        <x:v>17.874295601291216</x:v>
      </x:c>
      <x:c r="F19" s="205" t="n">
        <x:f>B19+C19+D19-E19</x:f>
        <x:v>441.2173813811505</x:v>
      </x:c>
      <x:c r="G19" s="205" t="n">
        <x:f>(B19+F19)/2</x:f>
        <x:v>444.03738570671544</x:v>
      </x:c>
      <x:c r="H19" s="224" t="n">
        <x:f>G19*('Assumptions'!C7*'Assumptions'!C9+'Assumptions'!C8*'Assumptions'!C10)+(G19*'Assumptions'!C6*'Assumptions'!C17+G19*'Assumptions'!C7*'Assumptions'!C18+G19*'Assumptions'!C8*'Assumptions'!C19)*'Assumptions'!C16+G19*'Assumptions'!C6*'Assumptions'!C23*'Assumptions'!C20+G19*'Assumptions'!C7*'Assumptions'!C24*'Assumptions'!C20*(1-'Assumptions'!C21)+G19*'Assumptions'!C8*'Assumptions'!C25*'Assumptions'!C20*(1-'Assumptions'!C22)</x:f>
        <x:v>1103.336103331104</x:v>
      </x:c>
      <x:c r="I19" s="205" t="n">
        <x:f>G19*('Assumptions'!C6*'Assumptions'!C23+'Assumptions'!C7*'Assumptions'!C24+'Assumptions'!C8*'Assumptions'!C25)</x:f>
        <x:v>9.946437439830426</x:v>
      </x:c>
      <x:c r="J19" s="206" t="n">
        <x:f>(I19+G19*'Assumptions'!C8*'Assumptions'!C26)*(('Assumptions'!C29/1000000)*'Assumptions'!C27+('Assumptions'!C30/1000000)*'Assumptions'!C28)*'Assumptions'!C31+(C19+D19)*('Assumptions'!C6*'Assumptions'!C34+'Assumptions'!C7*'Assumptions'!C35+'Assumptions'!C8*'Assumptions'!C36)*(('Assumptions'!C32/1000000)*'Assumptions'!C27+('Assumptions'!C33/1000000)*'Assumptions'!C28)</x:f>
        <x:v>0.7616052406576345</x:v>
      </x:c>
      <x:c r="K19" s="206" t="n">
        <x:f>(G19*('Assumptions'!C7*'Assumptions'!C9+'Assumptions'!C8*'Assumptions'!C10))*('Assumptions'!C37+'Assumptions'!C39)+G19*('Assumptions'!C7+'Assumptions'!C8)*'Assumptions'!C38+((G19*'Assumptions'!C6*'Assumptions'!C17+G19*'Assumptions'!C7*'Assumptions'!C18+G19*'Assumptions'!C8*'Assumptions'!C19)*'Assumptions'!C16)*'Assumptions'!C37+G19*('Assumptions'!C6*'Assumptions'!C17+'Assumptions'!C7*'Assumptions'!C18+'Assumptions'!C8*'Assumptions'!C19)*'Assumptions'!C38+(H19-G19*('Assumptions'!C7*'Assumptions'!C9+'Assumptions'!C8*'Assumptions'!C10)-(G19*'Assumptions'!C6*'Assumptions'!C17+G19*'Assumptions'!C7*'Assumptions'!C18+G19*'Assumptions'!C8*'Assumptions'!C19)*'Assumptions'!C16)*'Assumptions'!C37+I19*'Assumptions'!C38</x:f>
        <x:v>70.13045566240189</x:v>
      </x:c>
      <x:c r="L19" s="206" t="n">
        <x:f>J19+K19+'Assumptions'!C11+'Assumptions'!C12</x:f>
        <x:v>570.8920609030595</x:v>
      </x:c>
      <x:c r="M19" s="206" t="n">
        <x:f>H19-L19</x:f>
        <x:v>532.4440424280444</x:v>
      </x:c>
      <x:c r="N19" s="185"/>
      <x:c r="O19" s="204" t="str">
        <x:v>Apr 2027</x:v>
      </x:c>
      <x:c r="P19" s="205" t="n">
        <x:f>T18</x:f>
        <x:v>518.6546221772768</x:v>
      </x:c>
      <x:c r="Q19" s="205" t="n">
        <x:f>'Assumptions'!D12/'Assumptions'!D13</x:f>
        <x:v>12.5</x:v>
      </x:c>
      <x:c r="R19" s="205" t="n">
        <x:f>P19*'Assumptions'!D14</x:f>
        <x:v>5.186546221772768</x:v>
      </x:c>
      <x:c r="S19" s="205" t="n">
        <x:f>P19*'Assumptions'!D15</x:f>
        <x:v>15.559638665318303</x:v>
      </x:c>
      <x:c r="T19" s="205" t="n">
        <x:f>P19+Q19+R19-S19</x:f>
        <x:v>520.7815297337313</x:v>
      </x:c>
      <x:c r="U19" s="205" t="n">
        <x:f>(P19+T19)/2</x:f>
        <x:v>519.718075955504</x:v>
      </x:c>
      <x:c r="V19" s="224" t="n">
        <x:f>U19*('Assumptions'!D7*'Assumptions'!D9+'Assumptions'!D8*'Assumptions'!D10)+(U19*'Assumptions'!D6*'Assumptions'!D17+U19*'Assumptions'!D7*'Assumptions'!D18+U19*'Assumptions'!D8*'Assumptions'!D19)*'Assumptions'!D16+U19*'Assumptions'!D6*'Assumptions'!D23*'Assumptions'!D20+U19*'Assumptions'!D7*'Assumptions'!D24*'Assumptions'!D20*(1-'Assumptions'!D21)+U19*'Assumptions'!D8*'Assumptions'!D25*'Assumptions'!D20*(1-'Assumptions'!D22)</x:f>
        <x:v>1600.6152570939385</x:v>
      </x:c>
      <x:c r="W19" s="205" t="n">
        <x:f>U19*('Assumptions'!D6*'Assumptions'!D23+'Assumptions'!D7*'Assumptions'!D24+'Assumptions'!D8*'Assumptions'!D25)</x:f>
        <x:v>12.057459362167691</x:v>
      </x:c>
      <x:c r="X19" s="206" t="n">
        <x:f>(W19+U19*'Assumptions'!D8*'Assumptions'!D26)*(('Assumptions'!D29/1000000)*'Assumptions'!D27+('Assumptions'!D30/1000000)*'Assumptions'!D28)*'Assumptions'!D31+(Q19+R19)*('Assumptions'!D6*'Assumptions'!D34+'Assumptions'!D7*'Assumptions'!D35+'Assumptions'!D8*'Assumptions'!D36)*(('Assumptions'!D32/1000000)*'Assumptions'!D27+('Assumptions'!D33/1000000)*'Assumptions'!D28)</x:f>
        <x:v>1.0162622191104969</x:v>
      </x:c>
      <x:c r="Y19" s="206" t="n">
        <x:f>(U19*('Assumptions'!D7*'Assumptions'!D9+'Assumptions'!D8*'Assumptions'!D10))*('Assumptions'!D37+'Assumptions'!D39)+U19*('Assumptions'!D7+'Assumptions'!D8)*'Assumptions'!D38+((U19*'Assumptions'!D6*'Assumptions'!D17+U19*'Assumptions'!D7*'Assumptions'!D18+U19*'Assumptions'!D8*'Assumptions'!D19)*'Assumptions'!D16)*'Assumptions'!D37+U19*('Assumptions'!D6*'Assumptions'!D17+'Assumptions'!D7*'Assumptions'!D18+'Assumptions'!D8*'Assumptions'!D19)*'Assumptions'!D38+(V19-U19*('Assumptions'!D7*'Assumptions'!D9+'Assumptions'!D8*'Assumptions'!D10)-(U19*'Assumptions'!D6*'Assumptions'!D17+U19*'Assumptions'!D7*'Assumptions'!D18+U19*'Assumptions'!D8*'Assumptions'!D19)*'Assumptions'!D16)*'Assumptions'!D37+W19*'Assumptions'!D38</x:f>
        <x:v>100.73149970153013</x:v>
      </x:c>
      <x:c r="Z19" s="206" t="n">
        <x:f>X19+Y19+'Assumptions'!D11+'Assumptions'!D12</x:f>
        <x:v>601.7477619206406</x:v>
      </x:c>
      <x:c r="AA19" s="206" t="n">
        <x:f>V19-Z19</x:f>
        <x:v>998.8674951732978</x:v>
      </x:c>
      <x:c r="AB19" s="185"/>
      <x:c r="AC19" s="204" t="str">
        <x:v>Apr 2027</x:v>
      </x:c>
      <x:c r="AD19" s="205" t="n">
        <x:f>AH18</x:f>
        <x:v>590.1311898340929</x:v>
      </x:c>
      <x:c r="AE19" s="205" t="n">
        <x:f>'Assumptions'!E12/'Assumptions'!E13</x:f>
        <x:v>16.666666666666668</x:v>
      </x:c>
      <x:c r="AF19" s="205" t="n">
        <x:f>AD19*'Assumptions'!E14</x:f>
        <x:v>8.851967847511393</x:v>
      </x:c>
      <x:c r="AG19" s="205" t="n">
        <x:f>AD19*'Assumptions'!E15</x:f>
        <x:v>14.753279745852323</x:v>
      </x:c>
      <x:c r="AH19" s="205" t="n">
        <x:f>AD19+AE19+AF19-AG19</x:f>
        <x:v>600.8965446024187</x:v>
      </x:c>
      <x:c r="AI19" s="205" t="n">
        <x:f>(AD19+AH19)/2</x:f>
        <x:v>595.5138672182558</x:v>
      </x:c>
      <x:c r="AJ19" s="224" t="n">
        <x:f>AI19*('Assumptions'!E7*'Assumptions'!E9+'Assumptions'!E8*'Assumptions'!E10)+(AI19*'Assumptions'!E6*'Assumptions'!E17+AI19*'Assumptions'!E7*'Assumptions'!E18+AI19*'Assumptions'!E8*'Assumptions'!E19)*'Assumptions'!E16+AI19*'Assumptions'!E6*'Assumptions'!E23*'Assumptions'!E20+AI19*'Assumptions'!E7*'Assumptions'!E24*'Assumptions'!E20*(1-'Assumptions'!E21)+AI19*'Assumptions'!E8*'Assumptions'!E25*'Assumptions'!E20*(1-'Assumptions'!E22)</x:f>
        <x:v>2599.8741940299756</x:v>
      </x:c>
      <x:c r="AK19" s="205" t="n">
        <x:f>AI19*('Assumptions'!E6*'Assumptions'!E23+'Assumptions'!E7*'Assumptions'!E24+'Assumptions'!E8*'Assumptions'!E25)</x:f>
        <x:v>14.64964113356909</x:v>
      </x:c>
      <x:c r="AL19" s="206" t="n">
        <x:f>(AK19+AI19*'Assumptions'!E8*'Assumptions'!E26)*(('Assumptions'!E29/1000000)*'Assumptions'!E27+('Assumptions'!E30/1000000)*'Assumptions'!E28)*'Assumptions'!E31+(AE19+AF19)*('Assumptions'!E6*'Assumptions'!E34+'Assumptions'!E7*'Assumptions'!E35+'Assumptions'!E8*'Assumptions'!E36)*(('Assumptions'!E32/1000000)*'Assumptions'!E27+('Assumptions'!E33/1000000)*'Assumptions'!E28)</x:f>
        <x:v>1.5294028561372555</x:v>
      </x:c>
      <x:c r="AM19" s="206" t="n">
        <x:f>(AI19*('Assumptions'!E7*'Assumptions'!E9+'Assumptions'!E8*'Assumptions'!E10))*('Assumptions'!E37+'Assumptions'!E39)+AI19*('Assumptions'!E7+'Assumptions'!E8)*'Assumptions'!E38+((AI19*'Assumptions'!E6*'Assumptions'!E17+AI19*'Assumptions'!E7*'Assumptions'!E18+AI19*'Assumptions'!E8*'Assumptions'!E19)*'Assumptions'!E16)*'Assumptions'!E37+AI19*('Assumptions'!E6*'Assumptions'!E17+'Assumptions'!E7*'Assumptions'!E18+'Assumptions'!E8*'Assumptions'!E19)*'Assumptions'!E38+(AJ19-AI19*('Assumptions'!E7*'Assumptions'!E9+'Assumptions'!E8*'Assumptions'!E10)-(AI19*'Assumptions'!E6*'Assumptions'!E17+AI19*'Assumptions'!E7*'Assumptions'!E18+AI19*'Assumptions'!E8*'Assumptions'!E19)*'Assumptions'!E16)*'Assumptions'!E37+AK19*'Assumptions'!E38</x:f>
        <x:v>160.1611999728486</x:v>
      </x:c>
      <x:c r="AN19" s="206" t="n">
        <x:f>AL19+AM19+'Assumptions'!E11+'Assumptions'!E12</x:f>
        <x:v>661.6906028289859</x:v>
      </x:c>
      <x:c r="AO19" s="206" t="n">
        <x:f>AJ19-AN19</x:f>
        <x:v>1938.1835912009897</x:v>
      </x:c>
    </x:row>
    <x:row r="20">
      <x:c r="A20" s="204" t="str">
        <x:v>May 2027</x:v>
      </x:c>
      <x:c r="B20" s="205" t="n">
        <x:f>F19</x:f>
        <x:v>441.2173813811505</x:v>
      </x:c>
      <x:c r="C20" s="205" t="n">
        <x:f>'Assumptions'!C12/'Assumptions'!C13</x:f>
        <x:v>10</x:v>
      </x:c>
      <x:c r="D20" s="205" t="n">
        <x:f>B20*'Assumptions'!C14</x:f>
        <x:v>2.2060869069057527</x:v>
      </x:c>
      <x:c r="E20" s="205" t="n">
        <x:f>B20*'Assumptions'!C15</x:f>
        <x:v>17.64869525524602</x:v>
      </x:c>
      <x:c r="F20" s="205" t="n">
        <x:f>B20+C20+D20-E20</x:f>
        <x:v>435.77477303281023</x:v>
      </x:c>
      <x:c r="G20" s="205" t="n">
        <x:f>(B20+F20)/2</x:f>
        <x:v>438.4960772069804</x:v>
      </x:c>
      <x:c r="H20" s="224" t="n">
        <x:f>G20*('Assumptions'!C7*'Assumptions'!C9+'Assumptions'!C8*'Assumptions'!C10)+(G20*'Assumptions'!C6*'Assumptions'!C17+G20*'Assumptions'!C7*'Assumptions'!C18+G20*'Assumptions'!C8*'Assumptions'!C19)*'Assumptions'!C16+G20*'Assumptions'!C6*'Assumptions'!C23*'Assumptions'!C20+G20*'Assumptions'!C7*'Assumptions'!C24*'Assumptions'!C20*(1-'Assumptions'!C21)+G20*'Assumptions'!C8*'Assumptions'!C25*'Assumptions'!C20*(1-'Assumptions'!C22)</x:f>
        <x:v>1089.5671597145151</x:v>
      </x:c>
      <x:c r="I20" s="205" t="n">
        <x:f>G20*('Assumptions'!C6*'Assumptions'!C23+'Assumptions'!C7*'Assumptions'!C24+'Assumptions'!C8*'Assumptions'!C25)</x:f>
        <x:v>9.82231212943636</x:v>
      </x:c>
      <x:c r="J20" s="206" t="n">
        <x:f>(I20+G20*'Assumptions'!C8*'Assumptions'!C26)*(('Assumptions'!C29/1000000)*'Assumptions'!C27+('Assumptions'!C30/1000000)*'Assumptions'!C28)*'Assumptions'!C31+(C20+D20)*('Assumptions'!C6*'Assumptions'!C34+'Assumptions'!C7*'Assumptions'!C35+'Assumptions'!C8*'Assumptions'!C36)*(('Assumptions'!C32/1000000)*'Assumptions'!C27+('Assumptions'!C33/1000000)*'Assumptions'!C28)</x:f>
        <x:v>0.7528053572346173</x:v>
      </x:c>
      <x:c r="K20" s="206" t="n">
        <x:f>(G20*('Assumptions'!C7*'Assumptions'!C9+'Assumptions'!C8*'Assumptions'!C10))*('Assumptions'!C37+'Assumptions'!C39)+G20*('Assumptions'!C7+'Assumptions'!C8)*'Assumptions'!C38+((G20*'Assumptions'!C6*'Assumptions'!C17+G20*'Assumptions'!C7*'Assumptions'!C18+G20*'Assumptions'!C8*'Assumptions'!C19)*'Assumptions'!C16)*'Assumptions'!C37+G20*('Assumptions'!C6*'Assumptions'!C17+'Assumptions'!C7*'Assumptions'!C18+'Assumptions'!C8*'Assumptions'!C19)*'Assumptions'!C38+(H20-G20*('Assumptions'!C7*'Assumptions'!C9+'Assumptions'!C8*'Assumptions'!C10)-(G20*'Assumptions'!C6*'Assumptions'!C17+G20*'Assumptions'!C7*'Assumptions'!C18+G20*'Assumptions'!C8*'Assumptions'!C19)*'Assumptions'!C16)*'Assumptions'!C37+I20*'Assumptions'!C38</x:f>
        <x:v>69.25527149421781</x:v>
      </x:c>
      <x:c r="L20" s="206" t="n">
        <x:f>J20+K20+'Assumptions'!C11+'Assumptions'!C12</x:f>
        <x:v>570.0080768514524</x:v>
      </x:c>
      <x:c r="M20" s="206" t="n">
        <x:f>H20-L20</x:f>
        <x:v>519.5590828630627</x:v>
      </x:c>
      <x:c r="N20" s="185"/>
      <x:c r="O20" s="204" t="str">
        <x:v>May 2027</x:v>
      </x:c>
      <x:c r="P20" s="205" t="n">
        <x:f>T19</x:f>
        <x:v>520.7815297337313</x:v>
      </x:c>
      <x:c r="Q20" s="205" t="n">
        <x:f>'Assumptions'!D12/'Assumptions'!D13</x:f>
        <x:v>12.5</x:v>
      </x:c>
      <x:c r="R20" s="205" t="n">
        <x:f>P20*'Assumptions'!D14</x:f>
        <x:v>5.207815297337313</x:v>
      </x:c>
      <x:c r="S20" s="205" t="n">
        <x:f>P20*'Assumptions'!D15</x:f>
        <x:v>15.623445892011938</x:v>
      </x:c>
      <x:c r="T20" s="205" t="n">
        <x:f>P20+Q20+R20-S20</x:f>
        <x:v>522.8658991390568</x:v>
      </x:c>
      <x:c r="U20" s="205" t="n">
        <x:f>(P20+T20)/2</x:f>
        <x:v>521.8237144363941</x:v>
      </x:c>
      <x:c r="V20" s="224" t="n">
        <x:f>U20*('Assumptions'!D7*'Assumptions'!D9+'Assumptions'!D8*'Assumptions'!D10)+(U20*'Assumptions'!D6*'Assumptions'!D17+U20*'Assumptions'!D7*'Assumptions'!D18+U20*'Assumptions'!D8*'Assumptions'!D19)*'Assumptions'!D16+U20*'Assumptions'!D6*'Assumptions'!D23*'Assumptions'!D20+U20*'Assumptions'!D7*'Assumptions'!D24*'Assumptions'!D20*(1-'Assumptions'!D21)+U20*'Assumptions'!D8*'Assumptions'!D25*'Assumptions'!D20*(1-'Assumptions'!D22)</x:f>
        <x:v>1607.10015195206</x:v>
      </x:c>
      <x:c r="W20" s="205" t="n">
        <x:f>U20*('Assumptions'!D6*'Assumptions'!D23+'Assumptions'!D7*'Assumptions'!D24+'Assumptions'!D8*'Assumptions'!D25)</x:f>
        <x:v>12.106310174924342</x:v>
      </x:c>
      <x:c r="X20" s="206" t="n">
        <x:f>(W20+U20*'Assumptions'!D8*'Assumptions'!D26)*(('Assumptions'!D29/1000000)*'Assumptions'!D27+('Assumptions'!D30/1000000)*'Assumptions'!D28)*'Assumptions'!D31+(Q20+R20)*('Assumptions'!D6*'Assumptions'!D34+'Assumptions'!D7*'Assumptions'!D35+'Assumptions'!D8*'Assumptions'!D36)*(('Assumptions'!D32/1000000)*'Assumptions'!D27+('Assumptions'!D33/1000000)*'Assumptions'!D28)</x:f>
        <x:v>1.0200875580616207</x:v>
      </x:c>
      <x:c r="Y20" s="206" t="n">
        <x:f>(U20*('Assumptions'!D7*'Assumptions'!D9+'Assumptions'!D8*'Assumptions'!D10))*('Assumptions'!D37+'Assumptions'!D39)+U20*('Assumptions'!D7+'Assumptions'!D8)*'Assumptions'!D38+((U20*'Assumptions'!D6*'Assumptions'!D17+U20*'Assumptions'!D7*'Assumptions'!D18+U20*'Assumptions'!D8*'Assumptions'!D19)*'Assumptions'!D16)*'Assumptions'!D37+U20*('Assumptions'!D6*'Assumptions'!D17+'Assumptions'!D7*'Assumptions'!D18+'Assumptions'!D8*'Assumptions'!D19)*'Assumptions'!D38+(V20-U20*('Assumptions'!D7*'Assumptions'!D9+'Assumptions'!D8*'Assumptions'!D10)-(U20*'Assumptions'!D6*'Assumptions'!D17+U20*'Assumptions'!D7*'Assumptions'!D18+U20*'Assumptions'!D8*'Assumptions'!D19)*'Assumptions'!D16)*'Assumptions'!D37+W20*'Assumptions'!D38</x:f>
        <x:v>101.13961350749955</x:v>
      </x:c>
      <x:c r="Z20" s="206" t="n">
        <x:f>X20+Y20+'Assumptions'!D11+'Assumptions'!D12</x:f>
        <x:v>602.1597010655612</x:v>
      </x:c>
      <x:c r="AA20" s="206" t="n">
        <x:f>V20-Z20</x:f>
        <x:v>1004.9404508864989</x:v>
      </x:c>
      <x:c r="AB20" s="185"/>
      <x:c r="AC20" s="204" t="str">
        <x:v>May 2027</x:v>
      </x:c>
      <x:c r="AD20" s="205" t="n">
        <x:f>AH19</x:f>
        <x:v>600.8965446024187</x:v>
      </x:c>
      <x:c r="AE20" s="205" t="n">
        <x:f>'Assumptions'!E12/'Assumptions'!E13</x:f>
        <x:v>16.666666666666668</x:v>
      </x:c>
      <x:c r="AF20" s="205" t="n">
        <x:f>AD20*'Assumptions'!E14</x:f>
        <x:v>9.013448169036279</x:v>
      </x:c>
      <x:c r="AG20" s="205" t="n">
        <x:f>AD20*'Assumptions'!E15</x:f>
        <x:v>15.022413615060467</x:v>
      </x:c>
      <x:c r="AH20" s="205" t="n">
        <x:f>AD20+AE20+AF20-AG20</x:f>
        <x:v>611.554245823061</x:v>
      </x:c>
      <x:c r="AI20" s="205" t="n">
        <x:f>(AD20+AH20)/2</x:f>
        <x:v>606.2253952127398</x:v>
      </x:c>
      <x:c r="AJ20" s="224" t="n">
        <x:f>AI20*('Assumptions'!E7*'Assumptions'!E9+'Assumptions'!E8*'Assumptions'!E10)+(AI20*'Assumptions'!E6*'Assumptions'!E17+AI20*'Assumptions'!E7*'Assumptions'!E18+AI20*'Assumptions'!E8*'Assumptions'!E19)*'Assumptions'!E16+AI20*'Assumptions'!E6*'Assumptions'!E23*'Assumptions'!E20+AI20*'Assumptions'!E7*'Assumptions'!E24*'Assumptions'!E20*(1-'Assumptions'!E21)+AI20*'Assumptions'!E8*'Assumptions'!E25*'Assumptions'!E20*(1-'Assumptions'!E22)</x:f>
        <x:v>2646.6382187563427</x:v>
      </x:c>
      <x:c r="AK20" s="205" t="n">
        <x:f>AI20*('Assumptions'!E6*'Assumptions'!E23+'Assumptions'!E7*'Assumptions'!E24+'Assumptions'!E8*'Assumptions'!E25)</x:f>
        <x:v>14.913144722233397</x:v>
      </x:c>
      <x:c r="AL20" s="206" t="n">
        <x:f>(AK20+AI20*'Assumptions'!E8*'Assumptions'!E26)*(('Assumptions'!E29/1000000)*'Assumptions'!E27+('Assumptions'!E30/1000000)*'Assumptions'!E28)*'Assumptions'!E31+(AE20+AF20)*('Assumptions'!E6*'Assumptions'!E34+'Assumptions'!E7*'Assumptions'!E35+'Assumptions'!E8*'Assumptions'!E36)*(('Assumptions'!E32/1000000)*'Assumptions'!E27+('Assumptions'!E33/1000000)*'Assumptions'!E28)</x:f>
        <x:v>1.5550972303536605</x:v>
      </x:c>
      <x:c r="AM20" s="206" t="n">
        <x:f>(AI20*('Assumptions'!E7*'Assumptions'!E9+'Assumptions'!E8*'Assumptions'!E10))*('Assumptions'!E37+'Assumptions'!E39)+AI20*('Assumptions'!E7+'Assumptions'!E8)*'Assumptions'!E38+((AI20*'Assumptions'!E6*'Assumptions'!E17+AI20*'Assumptions'!E7*'Assumptions'!E18+AI20*'Assumptions'!E8*'Assumptions'!E19)*'Assumptions'!E16)*'Assumptions'!E37+AI20*('Assumptions'!E6*'Assumptions'!E17+'Assumptions'!E7*'Assumptions'!E18+'Assumptions'!E8*'Assumptions'!E19)*'Assumptions'!E38+(AJ20-AI20*('Assumptions'!E7*'Assumptions'!E9+'Assumptions'!E8*'Assumptions'!E10)-(AI20*'Assumptions'!E6*'Assumptions'!E17+AI20*'Assumptions'!E7*'Assumptions'!E18+AI20*'Assumptions'!E8*'Assumptions'!E19)*'Assumptions'!E16)*'Assumptions'!E37+AK20*'Assumptions'!E38</x:f>
        <x:v>163.0420248731201</x:v>
      </x:c>
      <x:c r="AN20" s="206" t="n">
        <x:f>AL20+AM20+'Assumptions'!E11+'Assumptions'!E12</x:f>
        <x:v>664.5971221034738</x:v>
      </x:c>
      <x:c r="AO20" s="206" t="n">
        <x:f>AJ20-AN20</x:f>
        <x:v>1982.0410966528689</x:v>
      </x:c>
    </x:row>
    <x:row r="21">
      <x:c r="A21" s="204" t="str">
        <x:v>Jun 2027</x:v>
      </x:c>
      <x:c r="B21" s="205" t="n">
        <x:f>F20</x:f>
        <x:v>435.77477303281023</x:v>
      </x:c>
      <x:c r="C21" s="205" t="n">
        <x:f>'Assumptions'!C12/'Assumptions'!C13</x:f>
        <x:v>10</x:v>
      </x:c>
      <x:c r="D21" s="205" t="n">
        <x:f>B21*'Assumptions'!C14</x:f>
        <x:v>2.1788738651640513</x:v>
      </x:c>
      <x:c r="E21" s="205" t="n">
        <x:f>B21*'Assumptions'!C15</x:f>
        <x:v>17.43099092131241</x:v>
      </x:c>
      <x:c r="F21" s="205" t="n">
        <x:f>B21+C21+D21-E21</x:f>
        <x:v>430.5226559766619</x:v>
      </x:c>
      <x:c r="G21" s="205" t="n">
        <x:f>(B21+F21)/2</x:f>
        <x:v>433.14871450473606</x:v>
      </x:c>
      <x:c r="H21" s="224" t="n">
        <x:f>G21*('Assumptions'!C7*'Assumptions'!C9+'Assumptions'!C8*'Assumptions'!C10)+(G21*'Assumptions'!C6*'Assumptions'!C17+G21*'Assumptions'!C7*'Assumptions'!C18+G21*'Assumptions'!C8*'Assumptions'!C19)*'Assumptions'!C16+G21*'Assumptions'!C6*'Assumptions'!C23*'Assumptions'!C20+G21*'Assumptions'!C7*'Assumptions'!C24*'Assumptions'!C20*(1-'Assumptions'!C21)+G21*'Assumptions'!C8*'Assumptions'!C25*'Assumptions'!C20*(1-'Assumptions'!C22)</x:f>
        <x:v>1076.2801291245073</x:v>
      </x:c>
      <x:c r="I21" s="205" t="n">
        <x:f>G21*('Assumptions'!C6*'Assumptions'!C23+'Assumptions'!C7*'Assumptions'!C24+'Assumptions'!C8*'Assumptions'!C25)</x:f>
        <x:v>9.702531204906087</x:v>
      </x:c>
      <x:c r="J21" s="206" t="n">
        <x:f>(I21+G21*'Assumptions'!C8*'Assumptions'!C26)*(('Assumptions'!C29/1000000)*'Assumptions'!C27+('Assumptions'!C30/1000000)*'Assumptions'!C28)*'Assumptions'!C31+(C21+D21)*('Assumptions'!C6*'Assumptions'!C34+'Assumptions'!C7*'Assumptions'!C35+'Assumptions'!C8*'Assumptions'!C36)*(('Assumptions'!C32/1000000)*'Assumptions'!C27+('Assumptions'!C33/1000000)*'Assumptions'!C28)</x:f>
        <x:v>0.7443134697314057</x:v>
      </x:c>
      <x:c r="K21" s="206" t="n">
        <x:f>(G21*('Assumptions'!C7*'Assumptions'!C9+'Assumptions'!C8*'Assumptions'!C10))*('Assumptions'!C37+'Assumptions'!C39)+G21*('Assumptions'!C7+'Assumptions'!C8)*'Assumptions'!C38+((G21*'Assumptions'!C6*'Assumptions'!C17+G21*'Assumptions'!C7*'Assumptions'!C18+G21*'Assumptions'!C8*'Assumptions'!C19)*'Assumptions'!C16)*'Assumptions'!C37+G21*('Assumptions'!C6*'Assumptions'!C17+'Assumptions'!C7*'Assumptions'!C18+'Assumptions'!C8*'Assumptions'!C19)*'Assumptions'!C38+(H21-G21*('Assumptions'!C7*'Assumptions'!C9+'Assumptions'!C8*'Assumptions'!C10)-(G21*'Assumptions'!C6*'Assumptions'!C17+G21*'Assumptions'!C7*'Assumptions'!C18+G21*'Assumptions'!C8*'Assumptions'!C19)*'Assumptions'!C16)*'Assumptions'!C37+I21*'Assumptions'!C38</x:f>
        <x:v>68.4107187719202</x:v>
      </x:c>
      <x:c r="L21" s="206" t="n">
        <x:f>J21+K21+'Assumptions'!C11+'Assumptions'!C12</x:f>
        <x:v>569.1550322416516</x:v>
      </x:c>
      <x:c r="M21" s="206" t="n">
        <x:f>H21-L21</x:f>
        <x:v>507.1250968828557</x:v>
      </x:c>
      <x:c r="N21" s="185"/>
      <x:c r="O21" s="204" t="str">
        <x:v>Jun 2027</x:v>
      </x:c>
      <x:c r="P21" s="205" t="n">
        <x:f>T20</x:f>
        <x:v>522.8658991390568</x:v>
      </x:c>
      <x:c r="Q21" s="205" t="n">
        <x:f>'Assumptions'!D12/'Assumptions'!D13</x:f>
        <x:v>12.5</x:v>
      </x:c>
      <x:c r="R21" s="205" t="n">
        <x:f>P21*'Assumptions'!D14</x:f>
        <x:v>5.228658991390567</x:v>
      </x:c>
      <x:c r="S21" s="205" t="n">
        <x:f>P21*'Assumptions'!D15</x:f>
        <x:v>15.685976974171702</x:v>
      </x:c>
      <x:c r="T21" s="205" t="n">
        <x:f>P21+Q21+R21-S21</x:f>
        <x:v>524.9085811562757</x:v>
      </x:c>
      <x:c r="U21" s="205" t="n">
        <x:f>(P21+T21)/2</x:f>
        <x:v>523.8872401476663</x:v>
      </x:c>
      <x:c r="V21" s="224" t="n">
        <x:f>U21*('Assumptions'!D7*'Assumptions'!D9+'Assumptions'!D8*'Assumptions'!D10)+(U21*'Assumptions'!D6*'Assumptions'!D17+U21*'Assumptions'!D7*'Assumptions'!D18+U21*'Assumptions'!D8*'Assumptions'!D19)*'Assumptions'!D16+U21*'Assumptions'!D6*'Assumptions'!D23*'Assumptions'!D20+U21*'Assumptions'!D7*'Assumptions'!D24*'Assumptions'!D20*(1-'Assumptions'!D21)+U21*'Assumptions'!D8*'Assumptions'!D25*'Assumptions'!D20*(1-'Assumptions'!D22)</x:f>
        <x:v>1613.455348913019</x:v>
      </x:c>
      <x:c r="W21" s="205" t="n">
        <x:f>U21*('Assumptions'!D6*'Assumptions'!D23+'Assumptions'!D7*'Assumptions'!D24+'Assumptions'!D8*'Assumptions'!D25)</x:f>
        <x:v>12.154183971425857</x:v>
      </x:c>
      <x:c r="X21" s="206" t="n">
        <x:f>(W21+U21*'Assumptions'!D8*'Assumptions'!D26)*(('Assumptions'!D29/1000000)*'Assumptions'!D27+('Assumptions'!D30/1000000)*'Assumptions'!D28)*'Assumptions'!D31+(Q21+R21)*('Assumptions'!D6*'Assumptions'!D34+'Assumptions'!D7*'Assumptions'!D35+'Assumptions'!D8*'Assumptions'!D36)*(('Assumptions'!D32/1000000)*'Assumptions'!D27+('Assumptions'!D33/1000000)*'Assumptions'!D28)</x:f>
        <x:v>1.0238363902337215</x:v>
      </x:c>
      <x:c r="Y21" s="206" t="n">
        <x:f>(U21*('Assumptions'!D7*'Assumptions'!D9+'Assumptions'!D8*'Assumptions'!D10))*('Assumptions'!D37+'Assumptions'!D39)+U21*('Assumptions'!D7+'Assumptions'!D8)*'Assumptions'!D38+((U21*'Assumptions'!D6*'Assumptions'!D17+U21*'Assumptions'!D7*'Assumptions'!D18+U21*'Assumptions'!D8*'Assumptions'!D19)*'Assumptions'!D16)*'Assumptions'!D37+U21*('Assumptions'!D6*'Assumptions'!D17+'Assumptions'!D7*'Assumptions'!D18+'Assumptions'!D8*'Assumptions'!D19)*'Assumptions'!D38+(V21-U21*('Assumptions'!D7*'Assumptions'!D9+'Assumptions'!D8*'Assumptions'!D10)-(U21*'Assumptions'!D6*'Assumptions'!D17+U21*'Assumptions'!D7*'Assumptions'!D18+U21*'Assumptions'!D8*'Assumptions'!D19)*'Assumptions'!D16)*'Assumptions'!D37+W21*'Assumptions'!D38</x:f>
        <x:v>101.53956503734956</x:v>
      </x:c>
      <x:c r="Z21" s="206" t="n">
        <x:f>X21+Y21+'Assumptions'!D11+'Assumptions'!D12</x:f>
        <x:v>602.5634014275834</x:v>
      </x:c>
      <x:c r="AA21" s="206" t="n">
        <x:f>V21-Z21</x:f>
        <x:v>1010.8919474854356</x:v>
      </x:c>
      <x:c r="AB21" s="185"/>
      <x:c r="AC21" s="204" t="str">
        <x:v>Jun 2027</x:v>
      </x:c>
      <x:c r="AD21" s="205" t="n">
        <x:f>AH20</x:f>
        <x:v>611.554245823061</x:v>
      </x:c>
      <x:c r="AE21" s="205" t="n">
        <x:f>'Assumptions'!E12/'Assumptions'!E13</x:f>
        <x:v>16.666666666666668</x:v>
      </x:c>
      <x:c r="AF21" s="205" t="n">
        <x:f>AD21*'Assumptions'!E14</x:f>
        <x:v>9.173313687345916</x:v>
      </x:c>
      <x:c r="AG21" s="205" t="n">
        <x:f>AD21*'Assumptions'!E15</x:f>
        <x:v>15.288856145576526</x:v>
      </x:c>
      <x:c r="AH21" s="205" t="n">
        <x:f>AD21+AE21+AF21-AG21</x:f>
        <x:v>622.105370031497</x:v>
      </x:c>
      <x:c r="AI21" s="205" t="n">
        <x:f>(AD21+AH21)/2</x:f>
        <x:v>616.829807927279</x:v>
      </x:c>
      <x:c r="AJ21" s="224" t="n">
        <x:f>AI21*('Assumptions'!E7*'Assumptions'!E9+'Assumptions'!E8*'Assumptions'!E10)+(AI21*'Assumptions'!E6*'Assumptions'!E17+AI21*'Assumptions'!E7*'Assumptions'!E18+AI21*'Assumptions'!E8*'Assumptions'!E19)*'Assumptions'!E16+AI21*'Assumptions'!E6*'Assumptions'!E23*'Assumptions'!E20+AI21*'Assumptions'!E7*'Assumptions'!E24*'Assumptions'!E20*(1-'Assumptions'!E21)+AI21*'Assumptions'!E8*'Assumptions'!E25*'Assumptions'!E20*(1-'Assumptions'!E22)</x:f>
        <x:v>2692.934603235446</x:v>
      </x:c>
      <x:c r="AK21" s="205" t="n">
        <x:f>AI21*('Assumptions'!E6*'Assumptions'!E23+'Assumptions'!E7*'Assumptions'!E24+'Assumptions'!E8*'Assumptions'!E25)</x:f>
        <x:v>15.174013275011061</x:v>
      </x:c>
      <x:c r="AL21" s="206" t="n">
        <x:f>(AK21+AI21*'Assumptions'!E8*'Assumptions'!E26)*(('Assumptions'!E29/1000000)*'Assumptions'!E27+('Assumptions'!E30/1000000)*'Assumptions'!E28)*'Assumptions'!E31+(AE21+AF21)*('Assumptions'!E6*'Assumptions'!E34+'Assumptions'!E7*'Assumptions'!E35+'Assumptions'!E8*'Assumptions'!E36)*(('Assumptions'!E32/1000000)*'Assumptions'!E27+('Assumptions'!E33/1000000)*'Assumptions'!E28)</x:f>
        <x:v>1.5805346608279016</x:v>
      </x:c>
      <x:c r="AM21" s="206" t="n">
        <x:f>(AI21*('Assumptions'!E7*'Assumptions'!E9+'Assumptions'!E8*'Assumptions'!E10))*('Assumptions'!E37+'Assumptions'!E39)+AI21*('Assumptions'!E7+'Assumptions'!E8)*'Assumptions'!E38+((AI21*'Assumptions'!E6*'Assumptions'!E17+AI21*'Assumptions'!E7*'Assumptions'!E18+AI21*'Assumptions'!E8*'Assumptions'!E19)*'Assumptions'!E16)*'Assumptions'!E37+AI21*('Assumptions'!E6*'Assumptions'!E17+'Assumptions'!E7*'Assumptions'!E18+'Assumptions'!E8*'Assumptions'!E19)*'Assumptions'!E38+(AJ21-AI21*('Assumptions'!E7*'Assumptions'!E9+'Assumptions'!E8*'Assumptions'!E10)-(AI21*'Assumptions'!E6*'Assumptions'!E17+AI21*'Assumptions'!E7*'Assumptions'!E18+AI21*'Assumptions'!E8*'Assumptions'!E19)*'Assumptions'!E16)*'Assumptions'!E37+AK21*'Assumptions'!E38</x:f>
        <x:v>165.89404152438894</x:v>
      </x:c>
      <x:c r="AN21" s="206" t="n">
        <x:f>AL21+AM21+'Assumptions'!E11+'Assumptions'!E12</x:f>
        <x:v>667.4745761852168</x:v>
      </x:c>
      <x:c r="AO21" s="206" t="n">
        <x:f>AJ21-AN21</x:f>
        <x:v>2025.4600270502292</x:v>
      </x:c>
    </x:row>
    <x:row r="22">
      <x:c r="A22" s="204" t="str">
        <x:v>Jul 2027</x:v>
      </x:c>
      <x:c r="B22" s="205" t="n">
        <x:f>F21</x:f>
        <x:v>430.5226559766619</x:v>
      </x:c>
      <x:c r="C22" s="205" t="n">
        <x:f>'Assumptions'!C12/'Assumptions'!C13</x:f>
        <x:v>10</x:v>
      </x:c>
      <x:c r="D22" s="205" t="n">
        <x:f>B22*'Assumptions'!C14</x:f>
        <x:v>2.1526132798833095</x:v>
      </x:c>
      <x:c r="E22" s="205" t="n">
        <x:f>B22*'Assumptions'!C15</x:f>
        <x:v>17.220906239066476</x:v>
      </x:c>
      <x:c r="F22" s="205" t="n">
        <x:f>B22+C22+D22-E22</x:f>
        <x:v>425.4543630174787</x:v>
      </x:c>
      <x:c r="G22" s="205" t="n">
        <x:f>(B22+F22)/2</x:f>
        <x:v>427.9885094970703</x:v>
      </x:c>
      <x:c r="H22" s="224" t="n">
        <x:f>G22*('Assumptions'!C7*'Assumptions'!C9+'Assumptions'!C8*'Assumptions'!C10)+(G22*'Assumptions'!C6*'Assumptions'!C17+G22*'Assumptions'!C7*'Assumptions'!C18+G22*'Assumptions'!C8*'Assumptions'!C19)*'Assumptions'!C16+G22*'Assumptions'!C6*'Assumptions'!C23*'Assumptions'!C20+G22*'Assumptions'!C7*'Assumptions'!C24*'Assumptions'!C20*(1-'Assumptions'!C21)+G22*'Assumptions'!C8*'Assumptions'!C25*'Assumptions'!C20*(1-'Assumptions'!C22)</x:f>
        <x:v>1063.4581446051495</x:v>
      </x:c>
      <x:c r="I22" s="205" t="n">
        <x:f>G22*('Assumptions'!C6*'Assumptions'!C23+'Assumptions'!C7*'Assumptions'!C24+'Assumptions'!C8*'Assumptions'!C25)</x:f>
        <x:v>9.586942612734374</x:v>
      </x:c>
      <x:c r="J22" s="206" t="n">
        <x:f>(I22+G22*'Assumptions'!C8*'Assumptions'!C26)*(('Assumptions'!C29/1000000)*'Assumptions'!C27+('Assumptions'!C30/1000000)*'Assumptions'!C28)*'Assumptions'!C31+(C22+D22)*('Assumptions'!C6*'Assumptions'!C34+'Assumptions'!C7*'Assumptions'!C35+'Assumptions'!C8*'Assumptions'!C36)*(('Assumptions'!C32/1000000)*'Assumptions'!C27+('Assumptions'!C33/1000000)*'Assumptions'!C28)</x:f>
        <x:v>0.7361187982908065</x:v>
      </x:c>
      <x:c r="K22" s="206" t="n">
        <x:f>(G22*('Assumptions'!C7*'Assumptions'!C9+'Assumptions'!C8*'Assumptions'!C10))*('Assumptions'!C37+'Assumptions'!C39)+G22*('Assumptions'!C7+'Assumptions'!C8)*'Assumptions'!C38+((G22*'Assumptions'!C6*'Assumptions'!C17+G22*'Assumptions'!C7*'Assumptions'!C18+G22*'Assumptions'!C8*'Assumptions'!C19)*'Assumptions'!C16)*'Assumptions'!C37+G22*('Assumptions'!C6*'Assumptions'!C17+'Assumptions'!C7*'Assumptions'!C18+'Assumptions'!C8*'Assumptions'!C19)*'Assumptions'!C38+(H22-G22*('Assumptions'!C7*'Assumptions'!C9+'Assumptions'!C8*'Assumptions'!C10)-(G22*'Assumptions'!C6*'Assumptions'!C17+G22*'Assumptions'!C7*'Assumptions'!C18+G22*'Assumptions'!C8*'Assumptions'!C19)*'Assumptions'!C16)*'Assumptions'!C37+I22*'Assumptions'!C38</x:f>
        <x:v>67.59572539490298</x:v>
      </x:c>
      <x:c r="L22" s="206" t="n">
        <x:f>J22+K22+'Assumptions'!C11+'Assumptions'!C12</x:f>
        <x:v>568.3318441931938</x:v>
      </x:c>
      <x:c r="M22" s="206" t="n">
        <x:f>H22-L22</x:f>
        <x:v>495.12630041195575</x:v>
      </x:c>
      <x:c r="N22" s="185"/>
      <x:c r="O22" s="204" t="str">
        <x:v>Jul 2027</x:v>
      </x:c>
      <x:c r="P22" s="205" t="n">
        <x:f>T21</x:f>
        <x:v>524.9085811562757</x:v>
      </x:c>
      <x:c r="Q22" s="205" t="n">
        <x:f>'Assumptions'!D12/'Assumptions'!D13</x:f>
        <x:v>12.5</x:v>
      </x:c>
      <x:c r="R22" s="205" t="n">
        <x:f>P22*'Assumptions'!D14</x:f>
        <x:v>5.2490858115627566</x:v>
      </x:c>
      <x:c r="S22" s="205" t="n">
        <x:f>P22*'Assumptions'!D15</x:f>
        <x:v>15.747257434688269</x:v>
      </x:c>
      <x:c r="T22" s="205" t="n">
        <x:f>P22+Q22+R22-S22</x:f>
        <x:v>526.9104095331501</x:v>
      </x:c>
      <x:c r="U22" s="205" t="n">
        <x:f>(P22+T22)/2</x:f>
        <x:v>525.9094953447129</x:v>
      </x:c>
      <x:c r="V22" s="224" t="n">
        <x:f>U22*('Assumptions'!D7*'Assumptions'!D9+'Assumptions'!D8*'Assumptions'!D10)+(U22*'Assumptions'!D6*'Assumptions'!D17+U22*'Assumptions'!D7*'Assumptions'!D18+U22*'Assumptions'!D8*'Assumptions'!D19)*'Assumptions'!D16+U22*'Assumptions'!D6*'Assumptions'!D23*'Assumptions'!D20+U22*'Assumptions'!D7*'Assumptions'!D24*'Assumptions'!D20*(1-'Assumptions'!D21)+U22*'Assumptions'!D8*'Assumptions'!D25*'Assumptions'!D20*(1-'Assumptions'!D22)</x:f>
        <x:v>1619.6834419347585</x:v>
      </x:c>
      <x:c r="W22" s="205" t="n">
        <x:f>U22*('Assumptions'!D6*'Assumptions'!D23+'Assumptions'!D7*'Assumptions'!D24+'Assumptions'!D8*'Assumptions'!D25)</x:f>
        <x:v>12.201100291997339</x:v>
      </x:c>
      <x:c r="X22" s="206" t="n">
        <x:f>(W22+U22*'Assumptions'!D8*'Assumptions'!D26)*(('Assumptions'!D29/1000000)*'Assumptions'!D27+('Assumptions'!D30/1000000)*'Assumptions'!D28)*'Assumptions'!D31+(Q22+R22)*('Assumptions'!D6*'Assumptions'!D34+'Assumptions'!D7*'Assumptions'!D35+'Assumptions'!D8*'Assumptions'!D36)*(('Assumptions'!D32/1000000)*'Assumptions'!D27+('Assumptions'!D33/1000000)*'Assumptions'!D28)</x:f>
        <x:v>1.0275102457623806</x:v>
      </x:c>
      <x:c r="Y22" s="206" t="n">
        <x:f>(U22*('Assumptions'!D7*'Assumptions'!D9+'Assumptions'!D8*'Assumptions'!D10))*('Assumptions'!D37+'Assumptions'!D39)+U22*('Assumptions'!D7+'Assumptions'!D8)*'Assumptions'!D38+((U22*'Assumptions'!D6*'Assumptions'!D17+U22*'Assumptions'!D7*'Assumptions'!D18+U22*'Assumptions'!D8*'Assumptions'!D19)*'Assumptions'!D16)*'Assumptions'!D37+U22*('Assumptions'!D6*'Assumptions'!D17+'Assumptions'!D7*'Assumptions'!D18+'Assumptions'!D8*'Assumptions'!D19)*'Assumptions'!D38+(V22-U22*('Assumptions'!D7*'Assumptions'!D9+'Assumptions'!D8*'Assumptions'!D10)-(U22*'Assumptions'!D6*'Assumptions'!D17+U22*'Assumptions'!D7*'Assumptions'!D18+U22*'Assumptions'!D8*'Assumptions'!D19)*'Assumptions'!D16)*'Assumptions'!D37+W22*'Assumptions'!D38</x:f>
        <x:v>101.93151753660257</x:v>
      </x:c>
      <x:c r="Z22" s="206" t="n">
        <x:f>X22+Y22+'Assumptions'!D11+'Assumptions'!D12</x:f>
        <x:v>602.959027782365</x:v>
      </x:c>
      <x:c r="AA22" s="206" t="n">
        <x:f>V22-Z22</x:f>
        <x:v>1016.7244141523936</x:v>
      </x:c>
      <x:c r="AB22" s="185"/>
      <x:c r="AC22" s="204" t="str">
        <x:v>Jul 2027</x:v>
      </x:c>
      <x:c r="AD22" s="205" t="n">
        <x:f>AH21</x:f>
        <x:v>622.105370031497</x:v>
      </x:c>
      <x:c r="AE22" s="205" t="n">
        <x:f>'Assumptions'!E12/'Assumptions'!E13</x:f>
        <x:v>16.666666666666668</x:v>
      </x:c>
      <x:c r="AF22" s="205" t="n">
        <x:f>AD22*'Assumptions'!E14</x:f>
        <x:v>9.331580550472456</x:v>
      </x:c>
      <x:c r="AG22" s="205" t="n">
        <x:f>AD22*'Assumptions'!E15</x:f>
        <x:v>15.552634250787428</x:v>
      </x:c>
      <x:c r="AH22" s="205" t="n">
        <x:f>AD22+AE22+AF22-AG22</x:f>
        <x:v>632.5509829978488</x:v>
      </x:c>
      <x:c r="AI22" s="205" t="n">
        <x:f>(AD22+AH22)/2</x:f>
        <x:v>627.3281765146729</x:v>
      </x:c>
      <x:c r="AJ22" s="224" t="n">
        <x:f>AI22*('Assumptions'!E7*'Assumptions'!E9+'Assumptions'!E8*'Assumptions'!E10)+(AI22*'Assumptions'!E6*'Assumptions'!E17+AI22*'Assumptions'!E7*'Assumptions'!E18+AI22*'Assumptions'!E8*'Assumptions'!E19)*'Assumptions'!E16+AI22*'Assumptions'!E6*'Assumptions'!E23*'Assumptions'!E20+AI22*'Assumptions'!E7*'Assumptions'!E24*'Assumptions'!E20*(1-'Assumptions'!E21)+AI22*'Assumptions'!E8*'Assumptions'!E25*'Assumptions'!E20*(1-'Assumptions'!E22)</x:f>
        <x:v>2738.768023869758</x:v>
      </x:c>
      <x:c r="AK22" s="205" t="n">
        <x:f>AI22*('Assumptions'!E6*'Assumptions'!E23+'Assumptions'!E7*'Assumptions'!E24+'Assumptions'!E8*'Assumptions'!E25)</x:f>
        <x:v>15.432273142260952</x:v>
      </x:c>
      <x:c r="AL22" s="206" t="n">
        <x:f>(AK22+AI22*'Assumptions'!E8*'Assumptions'!E26)*(('Assumptions'!E29/1000000)*'Assumptions'!E27+('Assumptions'!E30/1000000)*'Assumptions'!E28)*'Assumptions'!E31+(AE22+AF22)*('Assumptions'!E6*'Assumptions'!E34+'Assumptions'!E7*'Assumptions'!E35+'Assumptions'!E8*'Assumptions'!E36)*(('Assumptions'!E32/1000000)*'Assumptions'!E27+('Assumptions'!E33/1000000)*'Assumptions'!E28)</x:f>
        <x:v>1.6057177169974006</x:v>
      </x:c>
      <x:c r="AM22" s="206" t="n">
        <x:f>(AI22*('Assumptions'!E7*'Assumptions'!E9+'Assumptions'!E8*'Assumptions'!E10))*('Assumptions'!E37+'Assumptions'!E39)+AI22*('Assumptions'!E7+'Assumptions'!E8)*'Assumptions'!E38+((AI22*'Assumptions'!E6*'Assumptions'!E17+AI22*'Assumptions'!E7*'Assumptions'!E18+AI22*'Assumptions'!E8*'Assumptions'!E19)*'Assumptions'!E16)*'Assumptions'!E37+AI22*('Assumptions'!E6*'Assumptions'!E17+'Assumptions'!E7*'Assumptions'!E18+'Assumptions'!E8*'Assumptions'!E19)*'Assumptions'!E38+(AJ22-AI22*('Assumptions'!E7*'Assumptions'!E9+'Assumptions'!E8*'Assumptions'!E10)-(AI22*'Assumptions'!E6*'Assumptions'!E17+AI22*'Assumptions'!E7*'Assumptions'!E18+AI22*'Assumptions'!E8*'Assumptions'!E19)*'Assumptions'!E16)*'Assumptions'!E37+AK22*'Assumptions'!E38</x:f>
        <x:v>168.71753800914502</x:v>
      </x:c>
      <x:c r="AN22" s="206" t="n">
        <x:f>AL22+AM22+'Assumptions'!E11+'Assumptions'!E12</x:f>
        <x:v>670.3232557261424</x:v>
      </x:c>
      <x:c r="AO22" s="206" t="n">
        <x:f>AJ22-AN22</x:f>
        <x:v>2068.444768143616</x:v>
      </x:c>
    </x:row>
    <x:row r="23">
      <x:c r="A23" s="204" t="str">
        <x:v>Aug 2027</x:v>
      </x:c>
      <x:c r="B23" s="205" t="n">
        <x:f>F22</x:f>
        <x:v>425.4543630174787</x:v>
      </x:c>
      <x:c r="C23" s="205" t="n">
        <x:f>'Assumptions'!C12/'Assumptions'!C13</x:f>
        <x:v>10</x:v>
      </x:c>
      <x:c r="D23" s="205" t="n">
        <x:f>B23*'Assumptions'!C14</x:f>
        <x:v>2.1272718150873935</x:v>
      </x:c>
      <x:c r="E23" s="205" t="n">
        <x:f>B23*'Assumptions'!C15</x:f>
        <x:v>17.018174520699148</x:v>
      </x:c>
      <x:c r="F23" s="205" t="n">
        <x:f>B23+C23+D23-E23</x:f>
        <x:v>420.56346031186695</x:v>
      </x:c>
      <x:c r="G23" s="205" t="n">
        <x:f>(B23+F23)/2</x:f>
        <x:v>423.00891166467284</x:v>
      </x:c>
      <x:c r="H23" s="224" t="n">
        <x:f>G23*('Assumptions'!C7*'Assumptions'!C9+'Assumptions'!C8*'Assumptions'!C10)+(G23*'Assumptions'!C6*'Assumptions'!C17+G23*'Assumptions'!C7*'Assumptions'!C18+G23*'Assumptions'!C8*'Assumptions'!C19)*'Assumptions'!C16+G23*'Assumptions'!C6*'Assumptions'!C23*'Assumptions'!C20+G23*'Assumptions'!C7*'Assumptions'!C24*'Assumptions'!C20*(1-'Assumptions'!C21)+G23*'Assumptions'!C8*'Assumptions'!C25*'Assumptions'!C20*(1-'Assumptions'!C22)</x:f>
        <x:v>1051.084929543969</x:v>
      </x:c>
      <x:c r="I23" s="205" t="n">
        <x:f>G23*('Assumptions'!C6*'Assumptions'!C23+'Assumptions'!C7*'Assumptions'!C24+'Assumptions'!C8*'Assumptions'!C25)</x:f>
        <x:v>9.475399621288672</x:v>
      </x:c>
      <x:c r="J23" s="206" t="n">
        <x:f>(I23+G23*'Assumptions'!C8*'Assumptions'!C26)*(('Assumptions'!C29/1000000)*'Assumptions'!C27+('Assumptions'!C30/1000000)*'Assumptions'!C28)*'Assumptions'!C31+(C23+D23)*('Assumptions'!C6*'Assumptions'!C34+'Assumptions'!C7*'Assumptions'!C35+'Assumptions'!C8*'Assumptions'!C36)*(('Assumptions'!C32/1000000)*'Assumptions'!C27+('Assumptions'!C33/1000000)*'Assumptions'!C28)</x:f>
        <x:v>0.7282109403506282</x:v>
      </x:c>
      <x:c r="K23" s="206" t="n">
        <x:f>(G23*('Assumptions'!C7*'Assumptions'!C9+'Assumptions'!C8*'Assumptions'!C10))*('Assumptions'!C37+'Assumptions'!C39)+G23*('Assumptions'!C7+'Assumptions'!C8)*'Assumptions'!C38+((G23*'Assumptions'!C6*'Assumptions'!C17+G23*'Assumptions'!C7*'Assumptions'!C18+G23*'Assumptions'!C8*'Assumptions'!C19)*'Assumptions'!C16)*'Assumptions'!C37+G23*('Assumptions'!C6*'Assumptions'!C17+'Assumptions'!C7*'Assumptions'!C18+'Assumptions'!C8*'Assumptions'!C19)*'Assumptions'!C38+(H23-G23*('Assumptions'!C7*'Assumptions'!C9+'Assumptions'!C8*'Assumptions'!C10)-(G23*'Assumptions'!C6*'Assumptions'!C17+G23*'Assumptions'!C7*'Assumptions'!C18+G23*'Assumptions'!C8*'Assumptions'!C19)*'Assumptions'!C16)*'Assumptions'!C37+I23*'Assumptions'!C38</x:f>
        <x:v>66.80925678608138</x:v>
      </x:c>
      <x:c r="L23" s="206" t="n">
        <x:f>J23+K23+'Assumptions'!C11+'Assumptions'!C12</x:f>
        <x:v>567.5374677264319</x:v>
      </x:c>
      <x:c r="M23" s="206" t="n">
        <x:f>H23-L23</x:f>
        <x:v>483.54746181753717</x:v>
      </x:c>
      <x:c r="N23" s="185"/>
      <x:c r="O23" s="204" t="str">
        <x:v>Aug 2027</x:v>
      </x:c>
      <x:c r="P23" s="205" t="n">
        <x:f>T22</x:f>
        <x:v>526.9104095331501</x:v>
      </x:c>
      <x:c r="Q23" s="205" t="n">
        <x:f>'Assumptions'!D12/'Assumptions'!D13</x:f>
        <x:v>12.5</x:v>
      </x:c>
      <x:c r="R23" s="205" t="n">
        <x:f>P23*'Assumptions'!D14</x:f>
        <x:v>5.2691040953315005</x:v>
      </x:c>
      <x:c r="S23" s="205" t="n">
        <x:f>P23*'Assumptions'!D15</x:f>
        <x:v>15.807312285994502</x:v>
      </x:c>
      <x:c r="T23" s="205" t="n">
        <x:f>P23+Q23+R23-S23</x:f>
        <x:v>528.8722013424871</x:v>
      </x:c>
      <x:c r="U23" s="205" t="n">
        <x:f>(P23+T23)/2</x:f>
        <x:v>527.8913054378186</x:v>
      </x:c>
      <x:c r="V23" s="224" t="n">
        <x:f>U23*('Assumptions'!D7*'Assumptions'!D9+'Assumptions'!D8*'Assumptions'!D10)+(U23*'Assumptions'!D6*'Assumptions'!D17+U23*'Assumptions'!D7*'Assumptions'!D18+U23*'Assumptions'!D8*'Assumptions'!D19)*'Assumptions'!D16+U23*'Assumptions'!D6*'Assumptions'!D23*'Assumptions'!D20+U23*'Assumptions'!D7*'Assumptions'!D24*'Assumptions'!D20*(1-'Assumptions'!D21)+U23*'Assumptions'!D8*'Assumptions'!D25*'Assumptions'!D20*(1-'Assumptions'!D22)</x:f>
        <x:v>1625.7869730960633</x:v>
      </x:c>
      <x:c r="W23" s="205" t="n">
        <x:f>U23*('Assumptions'!D6*'Assumptions'!D23+'Assumptions'!D7*'Assumptions'!D24+'Assumptions'!D8*'Assumptions'!D25)</x:f>
        <x:v>12.24707828615739</x:v>
      </x:c>
      <x:c r="X23" s="206" t="n">
        <x:f>(W23+U23*'Assumptions'!D8*'Assumptions'!D26)*(('Assumptions'!D29/1000000)*'Assumptions'!D27+('Assumptions'!D30/1000000)*'Assumptions'!D28)*'Assumptions'!D31+(Q23+R23)*('Assumptions'!D6*'Assumptions'!D34+'Assumptions'!D7*'Assumptions'!D35+'Assumptions'!D8*'Assumptions'!D36)*(('Assumptions'!D32/1000000)*'Assumptions'!D27+('Assumptions'!D33/1000000)*'Assumptions'!D28)</x:f>
        <x:v>1.0311106241804662</x:v>
      </x:c>
      <x:c r="Y23" s="206" t="n">
        <x:f>(U23*('Assumptions'!D7*'Assumptions'!D9+'Assumptions'!D8*'Assumptions'!D10))*('Assumptions'!D37+'Assumptions'!D39)+U23*('Assumptions'!D7+'Assumptions'!D8)*'Assumptions'!D38+((U23*'Assumptions'!D6*'Assumptions'!D17+U23*'Assumptions'!D7*'Assumptions'!D18+U23*'Assumptions'!D8*'Assumptions'!D19)*'Assumptions'!D16)*'Assumptions'!D37+U23*('Assumptions'!D6*'Assumptions'!D17+'Assumptions'!D7*'Assumptions'!D18+'Assumptions'!D8*'Assumptions'!D19)*'Assumptions'!D38+(V23-U23*('Assumptions'!D7*'Assumptions'!D9+'Assumptions'!D8*'Assumptions'!D10)-(U23*'Assumptions'!D6*'Assumptions'!D17+U23*'Assumptions'!D7*'Assumptions'!D18+U23*'Assumptions'!D8*'Assumptions'!D19)*'Assumptions'!D16)*'Assumptions'!D37+W23*'Assumptions'!D38</x:f>
        <x:v>102.31563098587051</x:v>
      </x:c>
      <x:c r="Z23" s="206" t="n">
        <x:f>X23+Y23+'Assumptions'!D11+'Assumptions'!D12</x:f>
        <x:v>603.3467416100509</x:v>
      </x:c>
      <x:c r="AA23" s="206" t="n">
        <x:f>V23-Z23</x:f>
        <x:v>1022.4402314860124</x:v>
      </x:c>
      <x:c r="AB23" s="185"/>
      <x:c r="AC23" s="204" t="str">
        <x:v>Aug 2027</x:v>
      </x:c>
      <x:c r="AD23" s="205" t="n">
        <x:f>AH22</x:f>
        <x:v>632.5509829978488</x:v>
      </x:c>
      <x:c r="AE23" s="205" t="n">
        <x:f>'Assumptions'!E12/'Assumptions'!E13</x:f>
        <x:v>16.666666666666668</x:v>
      </x:c>
      <x:c r="AF23" s="205" t="n">
        <x:f>AD23*'Assumptions'!E14</x:f>
        <x:v>9.488264744967731</x:v>
      </x:c>
      <x:c r="AG23" s="205" t="n">
        <x:f>AD23*'Assumptions'!E15</x:f>
        <x:v>15.81377457494622</x:v>
      </x:c>
      <x:c r="AH23" s="205" t="n">
        <x:f>AD23+AE23+AF23-AG23</x:f>
        <x:v>642.8921398345369</x:v>
      </x:c>
      <x:c r="AI23" s="205" t="n">
        <x:f>(AD23+AH23)/2</x:f>
        <x:v>637.7215614161928</x:v>
      </x:c>
      <x:c r="AJ23" s="224" t="n">
        <x:f>AI23*('Assumptions'!E7*'Assumptions'!E9+'Assumptions'!E8*'Assumptions'!E10)+(AI23*'Assumptions'!E6*'Assumptions'!E17+AI23*'Assumptions'!E7*'Assumptions'!E18+AI23*'Assumptions'!E8*'Assumptions'!E19)*'Assumptions'!E16+AI23*'Assumptions'!E6*'Assumptions'!E23*'Assumptions'!E20+AI23*'Assumptions'!E7*'Assumptions'!E24*'Assumptions'!E20*(1-'Assumptions'!E21)+AI23*'Assumptions'!E8*'Assumptions'!E25*'Assumptions'!E20*(1-'Assumptions'!E22)</x:f>
        <x:v>2784.1431102977263</x:v>
      </x:c>
      <x:c r="AK23" s="205" t="n">
        <x:f>AI23*('Assumptions'!E6*'Assumptions'!E23+'Assumptions'!E7*'Assumptions'!E24+'Assumptions'!E8*'Assumptions'!E25)</x:f>
        <x:v>15.68795041083834</x:v>
      </x:c>
      <x:c r="AL23" s="206" t="n">
        <x:f>(AK23+AI23*'Assumptions'!E8*'Assumptions'!E26)*(('Assumptions'!E29/1000000)*'Assumptions'!E27+('Assumptions'!E30/1000000)*'Assumptions'!E28)*'Assumptions'!E31+(AE23+AF23)*('Assumptions'!E6*'Assumptions'!E34+'Assumptions'!E7*'Assumptions'!E35+'Assumptions'!E8*'Assumptions'!E36)*(('Assumptions'!E32/1000000)*'Assumptions'!E27+('Assumptions'!E33/1000000)*'Assumptions'!E28)</x:f>
        <x:v>1.630648942605204</x:v>
      </x:c>
      <x:c r="AM23" s="206" t="n">
        <x:f>(AI23*('Assumptions'!E7*'Assumptions'!E9+'Assumptions'!E8*'Assumptions'!E10))*('Assumptions'!E37+'Assumptions'!E39)+AI23*('Assumptions'!E7+'Assumptions'!E8)*'Assumptions'!E38+((AI23*'Assumptions'!E6*'Assumptions'!E17+AI23*'Assumptions'!E7*'Assumptions'!E18+AI23*'Assumptions'!E8*'Assumptions'!E19)*'Assumptions'!E16)*'Assumptions'!E37+AI23*('Assumptions'!E6*'Assumptions'!E17+'Assumptions'!E7*'Assumptions'!E18+'Assumptions'!E8*'Assumptions'!E19)*'Assumptions'!E38+(AJ23-AI23*('Assumptions'!E7*'Assumptions'!E9+'Assumptions'!E8*'Assumptions'!E10)-(AI23*'Assumptions'!E6*'Assumptions'!E17+AI23*'Assumptions'!E7*'Assumptions'!E18+AI23*'Assumptions'!E8*'Assumptions'!E19)*'Assumptions'!E16)*'Assumptions'!E37+AK23*'Assumptions'!E38</x:f>
        <x:v>171.51279952905355</x:v>
      </x:c>
      <x:c r="AN23" s="206" t="n">
        <x:f>AL23+AM23+'Assumptions'!E11+'Assumptions'!E12</x:f>
        <x:v>673.1434484716588</x:v>
      </x:c>
      <x:c r="AO23" s="206" t="n">
        <x:f>AJ23-AN23</x:f>
        <x:v>2110.9996618260675</x:v>
      </x:c>
    </x:row>
    <x:row r="24">
      <x:c r="A24" s="204" t="str">
        <x:v>Sep 2027</x:v>
      </x:c>
      <x:c r="B24" s="205" t="n">
        <x:f>F23</x:f>
        <x:v>420.56346031186695</x:v>
      </x:c>
      <x:c r="C24" s="205" t="n">
        <x:f>'Assumptions'!C12/'Assumptions'!C13</x:f>
        <x:v>10</x:v>
      </x:c>
      <x:c r="D24" s="205" t="n">
        <x:f>B24*'Assumptions'!C14</x:f>
        <x:v>2.1028173015593348</x:v>
      </x:c>
      <x:c r="E24" s="205" t="n">
        <x:f>B24*'Assumptions'!C15</x:f>
        <x:v>16.822538412474678</x:v>
      </x:c>
      <x:c r="F24" s="205" t="n">
        <x:f>B24+C24+D24-E24</x:f>
        <x:v>415.84373920095163</x:v>
      </x:c>
      <x:c r="G24" s="205" t="n">
        <x:f>(B24+F24)/2</x:f>
        <x:v>418.2035997564093</x:v>
      </x:c>
      <x:c r="H24" s="224" t="n">
        <x:f>G24*('Assumptions'!C7*'Assumptions'!C9+'Assumptions'!C8*'Assumptions'!C10)+(G24*'Assumptions'!C6*'Assumptions'!C17+G24*'Assumptions'!C7*'Assumptions'!C18+G24*'Assumptions'!C8*'Assumptions'!C19)*'Assumptions'!C16+G24*'Assumptions'!C6*'Assumptions'!C23*'Assumptions'!C20+G24*'Assumptions'!C7*'Assumptions'!C24*'Assumptions'!C20*(1-'Assumptions'!C21)+G24*'Assumptions'!C8*'Assumptions'!C25*'Assumptions'!C20*(1-'Assumptions'!C22)</x:f>
        <x:v>1039.14477700993</x:v>
      </x:c>
      <x:c r="I24" s="205" t="n">
        <x:f>G24*('Assumptions'!C6*'Assumptions'!C23+'Assumptions'!C7*'Assumptions'!C24+'Assumptions'!C8*'Assumptions'!C25)</x:f>
        <x:v>9.367760634543568</x:v>
      </x:c>
      <x:c r="J24" s="206" t="n">
        <x:f>(I24+G24*'Assumptions'!C8*'Assumptions'!C26)*(('Assumptions'!C29/1000000)*'Assumptions'!C27+('Assumptions'!C30/1000000)*'Assumptions'!C28)*'Assumptions'!C31+(C24+D24)*('Assumptions'!C6*'Assumptions'!C34+'Assumptions'!C7*'Assumptions'!C35+'Assumptions'!C8*'Assumptions'!C36)*(('Assumptions'!C32/1000000)*'Assumptions'!C27+('Assumptions'!C33/1000000)*'Assumptions'!C28)</x:f>
        <x:v>0.7205798574383562</x:v>
      </x:c>
      <x:c r="K24" s="206" t="n">
        <x:f>(G24*('Assumptions'!C7*'Assumptions'!C9+'Assumptions'!C8*'Assumptions'!C10))*('Assumptions'!C37+'Assumptions'!C39)+G24*('Assumptions'!C7+'Assumptions'!C8)*'Assumptions'!C38+((G24*'Assumptions'!C6*'Assumptions'!C17+G24*'Assumptions'!C7*'Assumptions'!C18+G24*'Assumptions'!C8*'Assumptions'!C19)*'Assumptions'!C16)*'Assumptions'!C37+G24*('Assumptions'!C6*'Assumptions'!C17+'Assumptions'!C7*'Assumptions'!C18+'Assumptions'!C8*'Assumptions'!C19)*'Assumptions'!C38+(H24-G24*('Assumptions'!C7*'Assumptions'!C9+'Assumptions'!C8*'Assumptions'!C10)-(G24*'Assumptions'!C6*'Assumptions'!C17+G24*'Assumptions'!C7*'Assumptions'!C18+G24*'Assumptions'!C8*'Assumptions'!C19)*'Assumptions'!C16)*'Assumptions'!C37+I24*'Assumptions'!C38</x:f>
        <x:v>66.05031457856853</x:v>
      </x:c>
      <x:c r="L24" s="206" t="n">
        <x:f>J24+K24+'Assumptions'!C11+'Assumptions'!C12</x:f>
        <x:v>566.7708944360069</x:v>
      </x:c>
      <x:c r="M24" s="206" t="n">
        <x:f>H24-L24</x:f>
        <x:v>472.3738825739232</x:v>
      </x:c>
      <x:c r="N24" s="185"/>
      <x:c r="O24" s="204" t="str">
        <x:v>Sep 2027</x:v>
      </x:c>
      <x:c r="P24" s="205" t="n">
        <x:f>T23</x:f>
        <x:v>528.8722013424871</x:v>
      </x:c>
      <x:c r="Q24" s="205" t="n">
        <x:f>'Assumptions'!D12/'Assumptions'!D13</x:f>
        <x:v>12.5</x:v>
      </x:c>
      <x:c r="R24" s="205" t="n">
        <x:f>P24*'Assumptions'!D14</x:f>
        <x:v>5.288722013424871</x:v>
      </x:c>
      <x:c r="S24" s="205" t="n">
        <x:f>P24*'Assumptions'!D15</x:f>
        <x:v>15.866166040274612</x:v>
      </x:c>
      <x:c r="T24" s="205" t="n">
        <x:f>P24+Q24+R24-S24</x:f>
        <x:v>530.7947573156373</x:v>
      </x:c>
      <x:c r="U24" s="205" t="n">
        <x:f>(P24+T24)/2</x:f>
        <x:v>529.8334793290621</x:v>
      </x:c>
      <x:c r="V24" s="224" t="n">
        <x:f>U24*('Assumptions'!D7*'Assumptions'!D9+'Assumptions'!D8*'Assumptions'!D10)+(U24*'Assumptions'!D6*'Assumptions'!D17+U24*'Assumptions'!D7*'Assumptions'!D18+U24*'Assumptions'!D8*'Assumptions'!D19)*'Assumptions'!D16+U24*'Assumptions'!D6*'Assumptions'!D23*'Assumptions'!D20+U24*'Assumptions'!D7*'Assumptions'!D24*'Assumptions'!D20*(1-'Assumptions'!D21)+U24*'Assumptions'!D8*'Assumptions'!D25*'Assumptions'!D20*(1-'Assumptions'!D22)</x:f>
        <x:v>1631.7684336341417</x:v>
      </x:c>
      <x:c r="W24" s="205" t="n">
        <x:f>U24*('Assumptions'!D6*'Assumptions'!D23+'Assumptions'!D7*'Assumptions'!D24+'Assumptions'!D8*'Assumptions'!D25)</x:f>
        <x:v>12.292136720434241</x:v>
      </x:c>
      <x:c r="X24" s="206" t="n">
        <x:f>(W24+U24*'Assumptions'!D8*'Assumptions'!D26)*(('Assumptions'!D29/1000000)*'Assumptions'!D27+('Assumptions'!D30/1000000)*'Assumptions'!D28)*'Assumptions'!D31+(Q24+R24)*('Assumptions'!D6*'Assumptions'!D34+'Assumptions'!D7*'Assumptions'!D35+'Assumptions'!D8*'Assumptions'!D36)*(('Assumptions'!D32/1000000)*'Assumptions'!D27+('Assumptions'!D33/1000000)*'Assumptions'!D28)</x:f>
        <x:v>1.03463899503019</x:v>
      </x:c>
      <x:c r="Y24" s="206" t="n">
        <x:f>(U24*('Assumptions'!D7*'Assumptions'!D9+'Assumptions'!D8*'Assumptions'!D10))*('Assumptions'!D37+'Assumptions'!D39)+U24*('Assumptions'!D7+'Assumptions'!D8)*'Assumptions'!D38+((U24*'Assumptions'!D6*'Assumptions'!D17+U24*'Assumptions'!D7*'Assumptions'!D18+U24*'Assumptions'!D8*'Assumptions'!D19)*'Assumptions'!D16)*'Assumptions'!D37+U24*('Assumptions'!D6*'Assumptions'!D17+'Assumptions'!D7*'Assumptions'!D18+'Assumptions'!D8*'Assumptions'!D19)*'Assumptions'!D38+(V24-U24*('Assumptions'!D7*'Assumptions'!D9+'Assumptions'!D8*'Assumptions'!D10)-(U24*'Assumptions'!D6*'Assumptions'!D17+U24*'Assumptions'!D7*'Assumptions'!D18+U24*'Assumptions'!D8*'Assumptions'!D19)*'Assumptions'!D16)*'Assumptions'!D37+W24*'Assumptions'!D38</x:f>
        <x:v>102.69206216615308</x:v>
      </x:c>
      <x:c r="Z24" s="206" t="n">
        <x:f>X24+Y24+'Assumptions'!D11+'Assumptions'!D12</x:f>
        <x:v>603.7267011611832</x:v>
      </x:c>
      <x:c r="AA24" s="206" t="n">
        <x:f>V24-Z24</x:f>
        <x:v>1028.0417324729585</x:v>
      </x:c>
      <x:c r="AB24" s="185"/>
      <x:c r="AC24" s="204" t="str">
        <x:v>Sep 2027</x:v>
      </x:c>
      <x:c r="AD24" s="205" t="n">
        <x:f>AH23</x:f>
        <x:v>642.8921398345369</x:v>
      </x:c>
      <x:c r="AE24" s="205" t="n">
        <x:f>'Assumptions'!E12/'Assumptions'!E13</x:f>
        <x:v>16.666666666666668</x:v>
      </x:c>
      <x:c r="AF24" s="205" t="n">
        <x:f>AD24*'Assumptions'!E14</x:f>
        <x:v>9.643382097518053</x:v>
      </x:c>
      <x:c r="AG24" s="205" t="n">
        <x:f>AD24*'Assumptions'!E15</x:f>
        <x:v>16.072303495863423</x:v>
      </x:c>
      <x:c r="AH24" s="205" t="n">
        <x:f>AD24+AE24+AF24-AG24</x:f>
        <x:v>653.1298851028582</x:v>
      </x:c>
      <x:c r="AI24" s="205" t="n">
        <x:f>(AD24+AH24)/2</x:f>
        <x:v>648.0110124686976</x:v>
      </x:c>
      <x:c r="AJ24" s="224" t="n">
        <x:f>AI24*('Assumptions'!E7*'Assumptions'!E9+'Assumptions'!E8*'Assumptions'!E10)+(AI24*'Assumptions'!E6*'Assumptions'!E17+AI24*'Assumptions'!E7*'Assumptions'!E18+AI24*'Assumptions'!E8*'Assumptions'!E19)*'Assumptions'!E16+AI24*'Assumptions'!E6*'Assumptions'!E23*'Assumptions'!E20+AI24*'Assumptions'!E7*'Assumptions'!E24*'Assumptions'!E20*(1-'Assumptions'!E21)+AI24*'Assumptions'!E8*'Assumptions'!E25*'Assumptions'!E20*(1-'Assumptions'!E22)</x:f>
        <x:v>2829.064445861416</x:v>
      </x:c>
      <x:c r="AK24" s="205" t="n">
        <x:f>AI24*('Assumptions'!E6*'Assumptions'!E23+'Assumptions'!E7*'Assumptions'!E24+'Assumptions'!E8*'Assumptions'!E25)</x:f>
        <x:v>15.941070906729959</x:v>
      </x:c>
      <x:c r="AL24" s="206" t="n">
        <x:f>(AK24+AI24*'Assumptions'!E8*'Assumptions'!E26)*(('Assumptions'!E29/1000000)*'Assumptions'!E27+('Assumptions'!E30/1000000)*'Assumptions'!E28)*'Assumptions'!E31+(AE24+AF24)*('Assumptions'!E6*'Assumptions'!E34+'Assumptions'!E7*'Assumptions'!E35+'Assumptions'!E8*'Assumptions'!E36)*(('Assumptions'!E32/1000000)*'Assumptions'!E27+('Assumptions'!E33/1000000)*'Assumptions'!E28)</x:f>
        <x:v>1.6553308559569297</x:v>
      </x:c>
      <x:c r="AM24" s="206" t="n">
        <x:f>(AI24*('Assumptions'!E7*'Assumptions'!E9+'Assumptions'!E8*'Assumptions'!E10))*('Assumptions'!E37+'Assumptions'!E39)+AI24*('Assumptions'!E7+'Assumptions'!E8)*'Assumptions'!E38+((AI24*'Assumptions'!E6*'Assumptions'!E17+AI24*'Assumptions'!E7*'Assumptions'!E18+AI24*'Assumptions'!E8*'Assumptions'!E19)*'Assumptions'!E16)*'Assumptions'!E37+AI24*('Assumptions'!E6*'Assumptions'!E17+'Assumptions'!E7*'Assumptions'!E18+'Assumptions'!E8*'Assumptions'!E19)*'Assumptions'!E38+(AJ24-AI24*('Assumptions'!E7*'Assumptions'!E9+'Assumptions'!E8*'Assumptions'!E10)-(AI24*'Assumptions'!E6*'Assumptions'!E17+AI24*'Assumptions'!E7*'Assumptions'!E18+AI24*'Assumptions'!E8*'Assumptions'!E19)*'Assumptions'!E16)*'Assumptions'!E37+AK24*'Assumptions'!E38</x:f>
        <x:v>174.28010843376302</x:v>
      </x:c>
      <x:c r="AN24" s="206" t="n">
        <x:f>AL24+AM24+'Assumptions'!E11+'Assumptions'!E12</x:f>
        <x:v>675.93543928972</x:v>
      </x:c>
      <x:c r="AO24" s="206" t="n">
        <x:f>AJ24-AN24</x:f>
        <x:v>2153.129006571696</x:v>
      </x:c>
    </x:row>
    <x:row r="25">
      <x:c r="A25" s="204" t="str">
        <x:v>Oct 2027</x:v>
      </x:c>
      <x:c r="B25" s="205" t="n">
        <x:f>F24</x:f>
        <x:v>415.84373920095163</x:v>
      </x:c>
      <x:c r="C25" s="205" t="n">
        <x:f>'Assumptions'!C12/'Assumptions'!C13</x:f>
        <x:v>10</x:v>
      </x:c>
      <x:c r="D25" s="205" t="n">
        <x:f>B25*'Assumptions'!C14</x:f>
        <x:v>2.0792186960047583</x:v>
      </x:c>
      <x:c r="E25" s="205" t="n">
        <x:f>B25*'Assumptions'!C15</x:f>
        <x:v>16.633749568038066</x:v>
      </x:c>
      <x:c r="F25" s="205" t="n">
        <x:f>B25+C25+D25-E25</x:f>
        <x:v>411.28920832891833</x:v>
      </x:c>
      <x:c r="G25" s="205" t="n">
        <x:f>(B25+F25)/2</x:f>
        <x:v>413.566473764935</x:v>
      </x:c>
      <x:c r="H25" s="224" t="n">
        <x:f>G25*('Assumptions'!C7*'Assumptions'!C9+'Assumptions'!C8*'Assumptions'!C10)+(G25*'Assumptions'!C6*'Assumptions'!C17+G25*'Assumptions'!C7*'Assumptions'!C18+G25*'Assumptions'!C8*'Assumptions'!C19)*'Assumptions'!C16+G25*'Assumptions'!C6*'Assumptions'!C23*'Assumptions'!C20+G25*'Assumptions'!C7*'Assumptions'!C24*'Assumptions'!C20*(1-'Assumptions'!C21)+G25*'Assumptions'!C8*'Assumptions'!C25*'Assumptions'!C20*(1-'Assumptions'!C22)</x:f>
        <x:v>1027.6225298145828</x:v>
      </x:c>
      <x:c r="I25" s="205" t="n">
        <x:f>G25*('Assumptions'!C6*'Assumptions'!C23+'Assumptions'!C7*'Assumptions'!C24+'Assumptions'!C8*'Assumptions'!C25)</x:f>
        <x:v>9.263889012334543</x:v>
      </x:c>
      <x:c r="J25" s="206" t="n">
        <x:f>(I25+G25*'Assumptions'!C8*'Assumptions'!C26)*(('Assumptions'!C29/1000000)*'Assumptions'!C27+('Assumptions'!C30/1000000)*'Assumptions'!C28)*'Assumptions'!C31+(C25+D25)*('Assumptions'!C6*'Assumptions'!C34+'Assumptions'!C7*'Assumptions'!C35+'Assumptions'!C8*'Assumptions'!C36)*(('Assumptions'!C32/1000000)*'Assumptions'!C27+('Assumptions'!C33/1000000)*'Assumptions'!C28)</x:f>
        <x:v>0.7132158624280137</x:v>
      </x:c>
      <x:c r="K25" s="206" t="n">
        <x:f>(G25*('Assumptions'!C7*'Assumptions'!C9+'Assumptions'!C8*'Assumptions'!C10))*('Assumptions'!C37+'Assumptions'!C39)+G25*('Assumptions'!C7+'Assumptions'!C8)*'Assumptions'!C38+((G25*'Assumptions'!C6*'Assumptions'!C17+G25*'Assumptions'!C7*'Assumptions'!C18+G25*'Assumptions'!C8*'Assumptions'!C19)*'Assumptions'!C16)*'Assumptions'!C37+G25*('Assumptions'!C6*'Assumptions'!C17+'Assumptions'!C7*'Assumptions'!C18+'Assumptions'!C8*'Assumptions'!C19)*'Assumptions'!C38+(H25-G25*('Assumptions'!C7*'Assumptions'!C9+'Assumptions'!C8*'Assumptions'!C10)-(G25*'Assumptions'!C6*'Assumptions'!C17+G25*'Assumptions'!C7*'Assumptions'!C18+G25*'Assumptions'!C8*'Assumptions'!C19)*'Assumptions'!C16)*'Assumptions'!C37+I25*'Assumptions'!C38</x:f>
        <x:v>65.31793534831864</x:v>
      </x:c>
      <x:c r="L25" s="206" t="n">
        <x:f>J25+K25+'Assumptions'!C11+'Assumptions'!C12</x:f>
        <x:v>566.0311512107467</x:v>
      </x:c>
      <x:c r="M25" s="206" t="n">
        <x:f>H25-L25</x:f>
        <x:v>461.5913786038361</x:v>
      </x:c>
      <x:c r="N25" s="185"/>
      <x:c r="O25" s="204" t="str">
        <x:v>Oct 2027</x:v>
      </x:c>
      <x:c r="P25" s="205" t="n">
        <x:f>T24</x:f>
        <x:v>530.7947573156373</x:v>
      </x:c>
      <x:c r="Q25" s="205" t="n">
        <x:f>'Assumptions'!D12/'Assumptions'!D13</x:f>
        <x:v>12.5</x:v>
      </x:c>
      <x:c r="R25" s="205" t="n">
        <x:f>P25*'Assumptions'!D14</x:f>
        <x:v>5.3079475731563734</x:v>
      </x:c>
      <x:c r="S25" s="205" t="n">
        <x:f>P25*'Assumptions'!D15</x:f>
        <x:v>15.923842719469118</x:v>
      </x:c>
      <x:c r="T25" s="205" t="n">
        <x:f>P25+Q25+R25-S25</x:f>
        <x:v>532.6788621693246</x:v>
      </x:c>
      <x:c r="U25" s="205" t="n">
        <x:f>(P25+T25)/2</x:f>
        <x:v>531.736809742481</x:v>
      </x:c>
      <x:c r="V25" s="224" t="n">
        <x:f>U25*('Assumptions'!D7*'Assumptions'!D9+'Assumptions'!D8*'Assumptions'!D10)+(U25*'Assumptions'!D6*'Assumptions'!D17+U25*'Assumptions'!D7*'Assumptions'!D18+U25*'Assumptions'!D8*'Assumptions'!D19)*'Assumptions'!D16+U25*'Assumptions'!D6*'Assumptions'!D23*'Assumptions'!D20+U25*'Assumptions'!D7*'Assumptions'!D24*'Assumptions'!D20*(1-'Assumptions'!D21)+U25*'Assumptions'!D8*'Assumptions'!D25*'Assumptions'!D20*(1-'Assumptions'!D22)</x:f>
        <x:v>1637.6302649614593</x:v>
      </x:c>
      <x:c r="W25" s="205" t="n">
        <x:f>U25*('Assumptions'!D6*'Assumptions'!D23+'Assumptions'!D7*'Assumptions'!D24+'Assumptions'!D8*'Assumptions'!D25)</x:f>
        <x:v>12.336293986025558</x:v>
      </x:c>
      <x:c r="X25" s="206" t="n">
        <x:f>(W25+U25*'Assumptions'!D8*'Assumptions'!D26)*(('Assumptions'!D29/1000000)*'Assumptions'!D27+('Assumptions'!D30/1000000)*'Assumptions'!D28)*'Assumptions'!D31+(Q25+R25)*('Assumptions'!D6*'Assumptions'!D34+'Assumptions'!D7*'Assumptions'!D35+'Assumptions'!D8*'Assumptions'!D36)*(('Assumptions'!D32/1000000)*'Assumptions'!D27+('Assumptions'!D33/1000000)*'Assumptions'!D28)</x:f>
        <x:v>1.0380967984629197</x:v>
      </x:c>
      <x:c r="Y25" s="206" t="n">
        <x:f>(U25*('Assumptions'!D7*'Assumptions'!D9+'Assumptions'!D8*'Assumptions'!D10))*('Assumptions'!D37+'Assumptions'!D39)+U25*('Assumptions'!D7+'Assumptions'!D8)*'Assumptions'!D38+((U25*'Assumptions'!D6*'Assumptions'!D17+U25*'Assumptions'!D7*'Assumptions'!D18+U25*'Assumptions'!D8*'Assumptions'!D19)*'Assumptions'!D16)*'Assumptions'!D37+U25*('Assumptions'!D6*'Assumptions'!D17+'Assumptions'!D7*'Assumptions'!D18+'Assumptions'!D8*'Assumptions'!D19)*'Assumptions'!D38+(V25-U25*('Assumptions'!D7*'Assumptions'!D9+'Assumptions'!D8*'Assumptions'!D10)-(U25*'Assumptions'!D6*'Assumptions'!D17+U25*'Assumptions'!D7*'Assumptions'!D18+U25*'Assumptions'!D8*'Assumptions'!D19)*'Assumptions'!D16)*'Assumptions'!D37+W25*'Assumptions'!D38</x:f>
        <x:v>103.06096472283004</x:v>
      </x:c>
      <x:c r="Z25" s="206" t="n">
        <x:f>X25+Y25+'Assumptions'!D11+'Assumptions'!D12</x:f>
        <x:v>604.0990615212929</x:v>
      </x:c>
      <x:c r="AA25" s="206" t="n">
        <x:f>V25-Z25</x:f>
        <x:v>1033.5312034401663</x:v>
      </x:c>
      <x:c r="AB25" s="185"/>
      <x:c r="AC25" s="204" t="str">
        <x:v>Oct 2027</x:v>
      </x:c>
      <x:c r="AD25" s="205" t="n">
        <x:f>AH24</x:f>
        <x:v>653.1298851028582</x:v>
      </x:c>
      <x:c r="AE25" s="205" t="n">
        <x:f>'Assumptions'!E12/'Assumptions'!E13</x:f>
        <x:v>16.666666666666668</x:v>
      </x:c>
      <x:c r="AF25" s="205" t="n">
        <x:f>AD25*'Assumptions'!E14</x:f>
        <x:v>9.796948276542873</x:v>
      </x:c>
      <x:c r="AG25" s="205" t="n">
        <x:f>AD25*'Assumptions'!E15</x:f>
        <x:v>16.328247127571455</x:v>
      </x:c>
      <x:c r="AH25" s="205" t="n">
        <x:f>AD25+AE25+AF25-AG25</x:f>
        <x:v>663.2652529184962</x:v>
      </x:c>
      <x:c r="AI25" s="205" t="n">
        <x:f>(AD25+AH25)/2</x:f>
        <x:v>658.1975690106772</x:v>
      </x:c>
      <x:c r="AJ25" s="224" t="n">
        <x:f>AI25*('Assumptions'!E7*'Assumptions'!E9+'Assumptions'!E8*'Assumptions'!E10)+(AI25*'Assumptions'!E6*'Assumptions'!E17+AI25*'Assumptions'!E7*'Assumptions'!E18+AI25*'Assumptions'!E8*'Assumptions'!E19)*'Assumptions'!E16+AI25*'Assumptions'!E6*'Assumptions'!E23*'Assumptions'!E20+AI25*'Assumptions'!E7*'Assumptions'!E24*'Assumptions'!E20*(1-'Assumptions'!E21)+AI25*'Assumptions'!E8*'Assumptions'!E25*'Assumptions'!E20*(1-'Assumptions'!E22)</x:f>
        <x:v>2873.536568069468</x:v>
      </x:c>
      <x:c r="AK25" s="205" t="n">
        <x:f>AI25*('Assumptions'!E6*'Assumptions'!E23+'Assumptions'!E7*'Assumptions'!E24+'Assumptions'!E8*'Assumptions'!E25)</x:f>
        <x:v>16.191660197662657</x:v>
      </x:c>
      <x:c r="AL25" s="206" t="n">
        <x:f>(AK25+AI25*'Assumptions'!E8*'Assumptions'!E26)*(('Assumptions'!E29/1000000)*'Assumptions'!E27+('Assumptions'!E30/1000000)*'Assumptions'!E28)*'Assumptions'!E31+(AE25+AF25)*('Assumptions'!E6*'Assumptions'!E34+'Assumptions'!E7*'Assumptions'!E35+'Assumptions'!E8*'Assumptions'!E36)*(('Assumptions'!E32/1000000)*'Assumptions'!E27+('Assumptions'!E33/1000000)*'Assumptions'!E28)</x:f>
        <x:v>1.6797659501751383</x:v>
      </x:c>
      <x:c r="AM25" s="206" t="n">
        <x:f>(AI25*('Assumptions'!E7*'Assumptions'!E9+'Assumptions'!E8*'Assumptions'!E10))*('Assumptions'!E37+'Assumptions'!E39)+AI25*('Assumptions'!E7+'Assumptions'!E8)*'Assumptions'!E38+((AI25*'Assumptions'!E6*'Assumptions'!E17+AI25*'Assumptions'!E7*'Assumptions'!E18+AI25*'Assumptions'!E8*'Assumptions'!E19)*'Assumptions'!E16)*'Assumptions'!E37+AI25*('Assumptions'!E6*'Assumptions'!E17+'Assumptions'!E7*'Assumptions'!E18+'Assumptions'!E8*'Assumptions'!E19)*'Assumptions'!E38+(AJ25-AI25*('Assumptions'!E7*'Assumptions'!E9+'Assumptions'!E8*'Assumptions'!E10)-(AI25*'Assumptions'!E6*'Assumptions'!E17+AI25*'Assumptions'!E7*'Assumptions'!E18+AI25*'Assumptions'!E8*'Assumptions'!E19)*'Assumptions'!E16)*'Assumptions'!E37+AK25*'Assumptions'!E38</x:f>
        <x:v>177.01974424942532</x:v>
      </x:c>
      <x:c r="AN25" s="206" t="n">
        <x:f>AL25+AM25+'Assumptions'!E11+'Assumptions'!E12</x:f>
        <x:v>678.6995101996005</x:v>
      </x:c>
      <x:c r="AO25" s="206" t="n">
        <x:f>AJ25-AN25</x:f>
        <x:v>2194.8370578698677</x:v>
      </x:c>
    </x:row>
    <x:row r="26">
      <x:c r="A26" s="204" t="str">
        <x:v>Nov 2027</x:v>
      </x:c>
      <x:c r="B26" s="205" t="n">
        <x:f>F25</x:f>
        <x:v>411.28920832891833</x:v>
      </x:c>
      <x:c r="C26" s="205" t="n">
        <x:f>'Assumptions'!C12/'Assumptions'!C13</x:f>
        <x:v>10</x:v>
      </x:c>
      <x:c r="D26" s="205" t="n">
        <x:f>B26*'Assumptions'!C14</x:f>
        <x:v>2.0564460416445915</x:v>
      </x:c>
      <x:c r="E26" s="205" t="n">
        <x:f>B26*'Assumptions'!C15</x:f>
        <x:v>16.451568333156732</x:v>
      </x:c>
      <x:c r="F26" s="205" t="n">
        <x:f>B26+C26+D26-E26</x:f>
        <x:v>406.8940860374062</x:v>
      </x:c>
      <x:c r="G26" s="205" t="n">
        <x:f>(B26+F26)/2</x:f>
        <x:v>409.0916471831623</x:v>
      </x:c>
      <x:c r="H26" s="224" t="n">
        <x:f>G26*('Assumptions'!C7*'Assumptions'!C9+'Assumptions'!C8*'Assumptions'!C10)+(G26*'Assumptions'!C6*'Assumptions'!C17+G26*'Assumptions'!C7*'Assumptions'!C18+G26*'Assumptions'!C8*'Assumptions'!C19)*'Assumptions'!C16+G26*'Assumptions'!C6*'Assumptions'!C23*'Assumptions'!C20+G26*'Assumptions'!C7*'Assumptions'!C24*'Assumptions'!C20*(1-'Assumptions'!C21)+G26*'Assumptions'!C8*'Assumptions'!C25*'Assumptions'!C20*(1-'Assumptions'!C22)</x:f>
        <x:v>1016.5035612710725</x:v>
      </x:c>
      <x:c r="I26" s="205" t="n">
        <x:f>G26*('Assumptions'!C6*'Assumptions'!C23+'Assumptions'!C7*'Assumptions'!C24+'Assumptions'!C8*'Assumptions'!C25)</x:f>
        <x:v>9.163652896902835</x:v>
      </x:c>
      <x:c r="J26" s="206" t="n">
        <x:f>(I26+G26*'Assumptions'!C8*'Assumptions'!C26)*(('Assumptions'!C29/1000000)*'Assumptions'!C27+('Assumptions'!C30/1000000)*'Assumptions'!C28)*'Assumptions'!C31+(C26+D26)*('Assumptions'!C6*'Assumptions'!C34+'Assumptions'!C7*'Assumptions'!C35+'Assumptions'!C8*'Assumptions'!C36)*(('Assumptions'!C32/1000000)*'Assumptions'!C27+('Assumptions'!C33/1000000)*'Assumptions'!C28)</x:f>
        <x:v>0.7061096072430333</x:v>
      </x:c>
      <x:c r="K26" s="206" t="n">
        <x:f>(G26*('Assumptions'!C7*'Assumptions'!C9+'Assumptions'!C8*'Assumptions'!C10))*('Assumptions'!C37+'Assumptions'!C39)+G26*('Assumptions'!C7+'Assumptions'!C8)*'Assumptions'!C38+((G26*'Assumptions'!C6*'Assumptions'!C17+G26*'Assumptions'!C7*'Assumptions'!C18+G26*'Assumptions'!C8*'Assumptions'!C19)*'Assumptions'!C16)*'Assumptions'!C37+G26*('Assumptions'!C6*'Assumptions'!C17+'Assumptions'!C7*'Assumptions'!C18+'Assumptions'!C8*'Assumptions'!C19)*'Assumptions'!C38+(H26-G26*('Assumptions'!C7*'Assumptions'!C9+'Assumptions'!C8*'Assumptions'!C10)-(G26*'Assumptions'!C6*'Assumptions'!C17+G26*'Assumptions'!C7*'Assumptions'!C18+G26*'Assumptions'!C8*'Assumptions'!C19)*'Assumptions'!C16)*'Assumptions'!C37+I26*'Assumptions'!C38</x:f>
        <x:v>64.6111893911275</x:v>
      </x:c>
      <x:c r="L26" s="206" t="n">
        <x:f>J26+K26+'Assumptions'!C11+'Assumptions'!C12</x:f>
        <x:v>565.3172989983705</x:v>
      </x:c>
      <x:c r="M26" s="206" t="n">
        <x:f>H26-L26</x:f>
        <x:v>451.18626227270204</x:v>
      </x:c>
      <x:c r="N26" s="185"/>
      <x:c r="O26" s="204" t="str">
        <x:v>Nov 2027</x:v>
      </x:c>
      <x:c r="P26" s="205" t="n">
        <x:f>T25</x:f>
        <x:v>532.6788621693246</x:v>
      </x:c>
      <x:c r="Q26" s="205" t="n">
        <x:f>'Assumptions'!D12/'Assumptions'!D13</x:f>
        <x:v>12.5</x:v>
      </x:c>
      <x:c r="R26" s="205" t="n">
        <x:f>P26*'Assumptions'!D14</x:f>
        <x:v>5.326788621693246</x:v>
      </x:c>
      <x:c r="S26" s="205" t="n">
        <x:f>P26*'Assumptions'!D15</x:f>
        <x:v>15.980365865079737</x:v>
      </x:c>
      <x:c r="T26" s="205" t="n">
        <x:f>P26+Q26+R26-S26</x:f>
        <x:v>534.5252849259381</x:v>
      </x:c>
      <x:c r="U26" s="205" t="n">
        <x:f>(P26+T26)/2</x:f>
        <x:v>533.6020735476313</x:v>
      </x:c>
      <x:c r="V26" s="224" t="n">
        <x:f>U26*('Assumptions'!D7*'Assumptions'!D9+'Assumptions'!D8*'Assumptions'!D10)+(U26*'Assumptions'!D6*'Assumptions'!D17+U26*'Assumptions'!D7*'Assumptions'!D18+U26*'Assumptions'!D8*'Assumptions'!D19)*'Assumptions'!D16+U26*'Assumptions'!D6*'Assumptions'!D23*'Assumptions'!D20+U26*'Assumptions'!D7*'Assumptions'!D24*'Assumptions'!D20*(1-'Assumptions'!D21)+U26*'Assumptions'!D8*'Assumptions'!D25*'Assumptions'!D20*(1-'Assumptions'!D22)</x:f>
        <x:v>1643.3748596622297</x:v>
      </x:c>
      <x:c r="W26" s="205" t="n">
        <x:f>U26*('Assumptions'!D6*'Assumptions'!D23+'Assumptions'!D7*'Assumptions'!D24+'Assumptions'!D8*'Assumptions'!D25)</x:f>
        <x:v>12.379568106305046</x:v>
      </x:c>
      <x:c r="X26" s="206" t="n">
        <x:f>(W26+U26*'Assumptions'!D8*'Assumptions'!D26)*(('Assumptions'!D29/1000000)*'Assumptions'!D27+('Assumptions'!D30/1000000)*'Assumptions'!D28)*'Assumptions'!D31+(Q26+R26)*('Assumptions'!D6*'Assumptions'!D34+'Assumptions'!D7*'Assumptions'!D35+'Assumptions'!D8*'Assumptions'!D36)*(('Assumptions'!D32/1000000)*'Assumptions'!D27+('Assumptions'!D33/1000000)*'Assumptions'!D28)</x:f>
        <x:v>1.0414854458269946</x:v>
      </x:c>
      <x:c r="Y26" s="206" t="n">
        <x:f>(U26*('Assumptions'!D7*'Assumptions'!D9+'Assumptions'!D8*'Assumptions'!D10))*('Assumptions'!D37+'Assumptions'!D39)+U26*('Assumptions'!D7+'Assumptions'!D8)*'Assumptions'!D38+((U26*'Assumptions'!D6*'Assumptions'!D17+U26*'Assumptions'!D7*'Assumptions'!D18+U26*'Assumptions'!D8*'Assumptions'!D19)*'Assumptions'!D16)*'Assumptions'!D37+U26*('Assumptions'!D6*'Assumptions'!D17+'Assumptions'!D7*'Assumptions'!D18+'Assumptions'!D8*'Assumptions'!D19)*'Assumptions'!D38+(V26-U26*('Assumptions'!D7*'Assumptions'!D9+'Assumptions'!D8*'Assumptions'!D10)-(U26*'Assumptions'!D6*'Assumptions'!D17+U26*'Assumptions'!D7*'Assumptions'!D18+U26*'Assumptions'!D8*'Assumptions'!D19)*'Assumptions'!D16)*'Assumptions'!D37+W26*'Assumptions'!D38</x:f>
        <x:v>103.42248922837341</x:v>
      </x:c>
      <x:c r="Z26" s="206" t="n">
        <x:f>X26+Y26+'Assumptions'!D11+'Assumptions'!D12</x:f>
        <x:v>604.4639746742005</x:v>
      </x:c>
      <x:c r="AA26" s="206" t="n">
        <x:f>V26-Z26</x:f>
        <x:v>1038.9108849880292</x:v>
      </x:c>
      <x:c r="AB26" s="185"/>
      <x:c r="AC26" s="204" t="str">
        <x:v>Nov 2027</x:v>
      </x:c>
      <x:c r="AD26" s="205" t="n">
        <x:f>AH25</x:f>
        <x:v>663.2652529184962</x:v>
      </x:c>
      <x:c r="AE26" s="205" t="n">
        <x:f>'Assumptions'!E12/'Assumptions'!E13</x:f>
        <x:v>16.666666666666668</x:v>
      </x:c>
      <x:c r="AF26" s="205" t="n">
        <x:f>AD26*'Assumptions'!E14</x:f>
        <x:v>9.948978793777442</x:v>
      </x:c>
      <x:c r="AG26" s="205" t="n">
        <x:f>AD26*'Assumptions'!E15</x:f>
        <x:v>16.581631322962405</x:v>
      </x:c>
      <x:c r="AH26" s="205" t="n">
        <x:f>AD26+AE26+AF26-AG26</x:f>
        <x:v>673.2992670559779</x:v>
      </x:c>
      <x:c r="AI26" s="205" t="n">
        <x:f>(AD26+AH26)/2</x:f>
        <x:v>668.282259987237</x:v>
      </x:c>
      <x:c r="AJ26" s="224" t="n">
        <x:f>AI26*('Assumptions'!E7*'Assumptions'!E9+'Assumptions'!E8*'Assumptions'!E10)+(AI26*'Assumptions'!E6*'Assumptions'!E17+AI26*'Assumptions'!E7*'Assumptions'!E18+AI26*'Assumptions'!E8*'Assumptions'!E19)*'Assumptions'!E16+AI26*'Assumptions'!E6*'Assumptions'!E23*'Assumptions'!E20+AI26*'Assumptions'!E7*'Assumptions'!E24*'Assumptions'!E20*(1-'Assumptions'!E21)+AI26*'Assumptions'!E8*'Assumptions'!E25*'Assumptions'!E20*(1-'Assumptions'!E22)</x:f>
        <x:v>2917.5639690554394</x:v>
      </x:c>
      <x:c r="AK26" s="205" t="n">
        <x:f>AI26*('Assumptions'!E6*'Assumptions'!E23+'Assumptions'!E7*'Assumptions'!E24+'Assumptions'!E8*'Assumptions'!E25)</x:f>
        <x:v>16.43974359568603</x:v>
      </x:c>
      <x:c r="AL26" s="206" t="n">
        <x:f>(AK26+AI26*'Assumptions'!E8*'Assumptions'!E26)*(('Assumptions'!E29/1000000)*'Assumptions'!E27+('Assumptions'!E30/1000000)*'Assumptions'!E28)*'Assumptions'!E31+(AE26+AF26)*('Assumptions'!E6*'Assumptions'!E34+'Assumptions'!E7*'Assumptions'!E35+'Assumptions'!E8*'Assumptions'!E36)*(('Assumptions'!E32/1000000)*'Assumptions'!E27+('Assumptions'!E33/1000000)*'Assumptions'!E28)</x:f>
        <x:v>1.7039566934511645</x:v>
      </x:c>
      <x:c r="AM26" s="206" t="n">
        <x:f>(AI26*('Assumptions'!E7*'Assumptions'!E9+'Assumptions'!E8*'Assumptions'!E10))*('Assumptions'!E37+'Assumptions'!E39)+AI26*('Assumptions'!E7+'Assumptions'!E8)*'Assumptions'!E38+((AI26*'Assumptions'!E6*'Assumptions'!E17+AI26*'Assumptions'!E7*'Assumptions'!E18+AI26*'Assumptions'!E8*'Assumptions'!E19)*'Assumptions'!E16)*'Assumptions'!E37+AI26*('Assumptions'!E6*'Assumptions'!E17+'Assumptions'!E7*'Assumptions'!E18+'Assumptions'!E8*'Assumptions'!E19)*'Assumptions'!E38+(AJ26-AI26*('Assumptions'!E7*'Assumptions'!E9+'Assumptions'!E8*'Assumptions'!E10)-(AI26*'Assumptions'!E6*'Assumptions'!E17+AI26*'Assumptions'!E7*'Assumptions'!E18+AI26*'Assumptions'!E8*'Assumptions'!E19)*'Assumptions'!E16)*'Assumptions'!E37+AK26*'Assumptions'!E38</x:f>
        <x:v>179.7319837069311</x:v>
      </x:c>
      <x:c r="AN26" s="206" t="n">
        <x:f>AL26+AM26+'Assumptions'!E11+'Assumptions'!E12</x:f>
        <x:v>681.4359404003823</x:v>
      </x:c>
      <x:c r="AO26" s="206" t="n">
        <x:f>AJ26-AN26</x:f>
        <x:v>2236.1280286550573</x:v>
      </x:c>
    </x:row>
    <x:row r="27">
      <x:c r="A27" s="204" t="str">
        <x:v>Dec 2027</x:v>
      </x:c>
      <x:c r="B27" s="205" t="n">
        <x:f>F26</x:f>
        <x:v>406.8940860374062</x:v>
      </x:c>
      <x:c r="C27" s="205" t="n">
        <x:f>'Assumptions'!C12/'Assumptions'!C13</x:f>
        <x:v>10</x:v>
      </x:c>
      <x:c r="D27" s="205" t="n">
        <x:f>B27*'Assumptions'!C14</x:f>
        <x:v>2.034470430187031</x:v>
      </x:c>
      <x:c r="E27" s="205" t="n">
        <x:f>B27*'Assumptions'!C15</x:f>
        <x:v>16.27576344149625</x:v>
      </x:c>
      <x:c r="F27" s="205" t="n">
        <x:f>B27+C27+D27-E27</x:f>
        <x:v>402.652793026097</x:v>
      </x:c>
      <x:c r="G27" s="205" t="n">
        <x:f>(B27+F27)/2</x:f>
        <x:v>404.7734395317516</x:v>
      </x:c>
      <x:c r="H27" s="224" t="n">
        <x:f>G27*('Assumptions'!C7*'Assumptions'!C9+'Assumptions'!C8*'Assumptions'!C10)+(G27*'Assumptions'!C6*'Assumptions'!C17+G27*'Assumptions'!C7*'Assumptions'!C18+G27*'Assumptions'!C8*'Assumptions'!C19)*'Assumptions'!C16+G27*'Assumptions'!C6*'Assumptions'!C23*'Assumptions'!C20+G27*'Assumptions'!C7*'Assumptions'!C24*'Assumptions'!C20*(1-'Assumptions'!C21)+G27*'Assumptions'!C8*'Assumptions'!C25*'Assumptions'!C20*(1-'Assumptions'!C22)</x:f>
        <x:v>1005.7737566265848</x:v>
      </x:c>
      <x:c r="I27" s="205" t="n">
        <x:f>G27*('Assumptions'!C6*'Assumptions'!C23+'Assumptions'!C7*'Assumptions'!C24+'Assumptions'!C8*'Assumptions'!C25)</x:f>
        <x:v>9.066925045511235</x:v>
      </x:c>
      <x:c r="J27" s="206" t="n">
        <x:f>(I27+G27*'Assumptions'!C8*'Assumptions'!C26)*(('Assumptions'!C29/1000000)*'Assumptions'!C27+('Assumptions'!C30/1000000)*'Assumptions'!C28)*'Assumptions'!C31+(C27+D27)*('Assumptions'!C6*'Assumptions'!C34+'Assumptions'!C7*'Assumptions'!C35+'Assumptions'!C8*'Assumptions'!C36)*(('Assumptions'!C32/1000000)*'Assumptions'!C27+('Assumptions'!C33/1000000)*'Assumptions'!C28)</x:f>
        <x:v>0.6992520709895271</x:v>
      </x:c>
      <x:c r="K27" s="206" t="n">
        <x:f>(G27*('Assumptions'!C7*'Assumptions'!C9+'Assumptions'!C8*'Assumptions'!C10))*('Assumptions'!C37+'Assumptions'!C39)+G27*('Assumptions'!C7+'Assumptions'!C8)*'Assumptions'!C38+((G27*'Assumptions'!C6*'Assumptions'!C17+G27*'Assumptions'!C7*'Assumptions'!C18+G27*'Assumptions'!C8*'Assumptions'!C19)*'Assumptions'!C16)*'Assumptions'!C37+G27*('Assumptions'!C6*'Assumptions'!C17+'Assumptions'!C7*'Assumptions'!C18+'Assumptions'!C8*'Assumptions'!C19)*'Assumptions'!C38+(H27-G27*('Assumptions'!C7*'Assumptions'!C9+'Assumptions'!C8*'Assumptions'!C10)-(G27*'Assumptions'!C6*'Assumptions'!C17+G27*'Assumptions'!C7*'Assumptions'!C18+G27*'Assumptions'!C8*'Assumptions'!C19)*'Assumptions'!C16)*'Assumptions'!C37+I27*'Assumptions'!C38</x:f>
        <x:v>63.929179542438014</x:v>
      </x:c>
      <x:c r="L27" s="206" t="n">
        <x:f>J27+K27+'Assumptions'!C11+'Assumptions'!C12</x:f>
        <x:v>564.6284316134276</x:v>
      </x:c>
      <x:c r="M27" s="206" t="n">
        <x:f>H27-L27</x:f>
        <x:v>441.1453250131573</x:v>
      </x:c>
      <x:c r="N27" s="185"/>
      <x:c r="O27" s="204" t="str">
        <x:v>Dec 2027</x:v>
      </x:c>
      <x:c r="P27" s="205" t="n">
        <x:f>T26</x:f>
        <x:v>534.5252849259381</x:v>
      </x:c>
      <x:c r="Q27" s="205" t="n">
        <x:f>'Assumptions'!D12/'Assumptions'!D13</x:f>
        <x:v>12.5</x:v>
      </x:c>
      <x:c r="R27" s="205" t="n">
        <x:f>P27*'Assumptions'!D14</x:f>
        <x:v>5.3452528492593805</x:v>
      </x:c>
      <x:c r="S27" s="205" t="n">
        <x:f>P27*'Assumptions'!D15</x:f>
        <x:v>16.03575854777814</x:v>
      </x:c>
      <x:c r="T27" s="205" t="n">
        <x:f>P27+Q27+R27-S27</x:f>
        <x:v>536.3347792274193</x:v>
      </x:c>
      <x:c r="U27" s="205" t="n">
        <x:f>(P27+T27)/2</x:f>
        <x:v>535.4300320766787</x:v>
      </x:c>
      <x:c r="V27" s="224" t="n">
        <x:f>U27*('Assumptions'!D7*'Assumptions'!D9+'Assumptions'!D8*'Assumptions'!D10)+(U27*'Assumptions'!D6*'Assumptions'!D17+U27*'Assumptions'!D7*'Assumptions'!D18+U27*'Assumptions'!D8*'Assumptions'!D19)*'Assumptions'!D16+U27*'Assumptions'!D6*'Assumptions'!D23*'Assumptions'!D20+U27*'Assumptions'!D7*'Assumptions'!D24*'Assumptions'!D20*(1-'Assumptions'!D21)+U27*'Assumptions'!D8*'Assumptions'!D25*'Assumptions'!D20*(1-'Assumptions'!D22)</x:f>
        <x:v>1649.0045624689851</x:v>
      </x:c>
      <x:c r="W27" s="205" t="n">
        <x:f>U27*('Assumptions'!D6*'Assumptions'!D23+'Assumptions'!D7*'Assumptions'!D24+'Assumptions'!D8*'Assumptions'!D25)</x:f>
        <x:v>12.421976744178945</x:v>
      </x:c>
      <x:c r="X27" s="206" t="n">
        <x:f>(W27+U27*'Assumptions'!D8*'Assumptions'!D26)*(('Assumptions'!D29/1000000)*'Assumptions'!D27+('Assumptions'!D30/1000000)*'Assumptions'!D28)*'Assumptions'!D31+(Q27+R27)*('Assumptions'!D6*'Assumptions'!D34+'Assumptions'!D7*'Assumptions'!D35+'Assumptions'!D8*'Assumptions'!D36)*(('Assumptions'!D32/1000000)*'Assumptions'!D27+('Assumptions'!D33/1000000)*'Assumptions'!D28)</x:f>
        <x:v>1.0448063202437878</x:v>
      </x:c>
      <x:c r="Y27" s="206" t="n">
        <x:f>(U27*('Assumptions'!D7*'Assumptions'!D9+'Assumptions'!D8*'Assumptions'!D10))*('Assumptions'!D37+'Assumptions'!D39)+U27*('Assumptions'!D7+'Assumptions'!D8)*'Assumptions'!D38+((U27*'Assumptions'!D6*'Assumptions'!D17+U27*'Assumptions'!D7*'Assumptions'!D18+U27*'Assumptions'!D8*'Assumptions'!D19)*'Assumptions'!D16)*'Assumptions'!D37+U27*('Assumptions'!D6*'Assumptions'!D17+'Assumptions'!D7*'Assumptions'!D18+'Assumptions'!D8*'Assumptions'!D19)*'Assumptions'!D38+(V27-U27*('Assumptions'!D7*'Assumptions'!D9+'Assumptions'!D8*'Assumptions'!D10)-(U27*'Assumptions'!D6*'Assumptions'!D17+U27*'Assumptions'!D7*'Assumptions'!D18+U27*'Assumptions'!D8*'Assumptions'!D19)*'Assumptions'!D16)*'Assumptions'!D37+W27*'Assumptions'!D38</x:f>
        <x:v>103.77678324380597</x:v>
      </x:c>
      <x:c r="Z27" s="206" t="n">
        <x:f>X27+Y27+'Assumptions'!D11+'Assumptions'!D12</x:f>
        <x:v>604.8215895640498</x:v>
      </x:c>
      <x:c r="AA27" s="206" t="n">
        <x:f>V27-Z27</x:f>
        <x:v>1044.1829729049355</x:v>
      </x:c>
      <x:c r="AB27" s="185"/>
      <x:c r="AC27" s="204" t="str">
        <x:v>Dec 2027</x:v>
      </x:c>
      <x:c r="AD27" s="205" t="n">
        <x:f>AH26</x:f>
        <x:v>673.2992670559779</x:v>
      </x:c>
      <x:c r="AE27" s="205" t="n">
        <x:f>'Assumptions'!E12/'Assumptions'!E13</x:f>
        <x:v>16.666666666666668</x:v>
      </x:c>
      <x:c r="AF27" s="205" t="n">
        <x:f>AD27*'Assumptions'!E14</x:f>
        <x:v>10.099489005839668</x:v>
      </x:c>
      <x:c r="AG27" s="205" t="n">
        <x:f>AD27*'Assumptions'!E15</x:f>
        <x:v>16.83248167639945</x:v>
      </x:c>
      <x:c r="AH27" s="205" t="n">
        <x:f>AD27+AE27+AF27-AG27</x:f>
        <x:v>683.2329410520848</x:v>
      </x:c>
      <x:c r="AI27" s="205" t="n">
        <x:f>(AD27+AH27)/2</x:f>
        <x:v>678.2661040540313</x:v>
      </x:c>
      <x:c r="AJ27" s="224" t="n">
        <x:f>AI27*('Assumptions'!E7*'Assumptions'!E9+'Assumptions'!E8*'Assumptions'!E10)+(AI27*'Assumptions'!E6*'Assumptions'!E17+AI27*'Assumptions'!E7*'Assumptions'!E18+AI27*'Assumptions'!E8*'Assumptions'!E19)*'Assumptions'!E16+AI27*'Assumptions'!E6*'Assumptions'!E23*'Assumptions'!E20+AI27*'Assumptions'!E7*'Assumptions'!E24*'Assumptions'!E20*(1-'Assumptions'!E21)+AI27*'Assumptions'!E8*'Assumptions'!E25*'Assumptions'!E20*(1-'Assumptions'!E22)</x:f>
        <x:v>2961.1510960315522</x:v>
      </x:c>
      <x:c r="AK27" s="205" t="n">
        <x:f>AI27*('Assumptions'!E6*'Assumptions'!E23+'Assumptions'!E7*'Assumptions'!E24+'Assumptions'!E8*'Assumptions'!E25)</x:f>
        <x:v>16.685346159729168</x:v>
      </x:c>
      <x:c r="AL27" s="206" t="n">
        <x:f>(AK27+AI27*'Assumptions'!E8*'Assumptions'!E26)*(('Assumptions'!E29/1000000)*'Assumptions'!E27+('Assumptions'!E30/1000000)*'Assumptions'!E28)*'Assumptions'!E31+(AE27+AF27)*('Assumptions'!E6*'Assumptions'!E34+'Assumptions'!E7*'Assumptions'!E35+'Assumptions'!E8*'Assumptions'!E36)*(('Assumptions'!E32/1000000)*'Assumptions'!E27+('Assumptions'!E33/1000000)*'Assumptions'!E28)</x:f>
        <x:v>1.7279055292944305</x:v>
      </x:c>
      <x:c r="AM27" s="206" t="n">
        <x:f>(AI27*('Assumptions'!E7*'Assumptions'!E9+'Assumptions'!E8*'Assumptions'!E10))*('Assumptions'!E37+'Assumptions'!E39)+AI27*('Assumptions'!E7+'Assumptions'!E8)*'Assumptions'!E38+((AI27*'Assumptions'!E6*'Assumptions'!E17+AI27*'Assumptions'!E7*'Assumptions'!E18+AI27*'Assumptions'!E8*'Assumptions'!E19)*'Assumptions'!E16)*'Assumptions'!E37+AI27*('Assumptions'!E6*'Assumptions'!E17+'Assumptions'!E7*'Assumptions'!E18+'Assumptions'!E8*'Assumptions'!E19)*'Assumptions'!E38+(AJ27-AI27*('Assumptions'!E7*'Assumptions'!E9+'Assumptions'!E8*'Assumptions'!E10)-(AI27*'Assumptions'!E6*'Assumptions'!E17+AI27*'Assumptions'!E7*'Assumptions'!E18+AI27*'Assumptions'!E8*'Assumptions'!E19)*'Assumptions'!E16)*'Assumptions'!E37+AK27*'Assumptions'!E38</x:f>
        <x:v>182.4171007698618</x:v>
      </x:c>
      <x:c r="AN27" s="206" t="n">
        <x:f>AL27+AM27+'Assumptions'!E11+'Assumptions'!E12</x:f>
        <x:v>684.1450062991562</x:v>
      </x:c>
      <x:c r="AO27" s="206" t="n">
        <x:f>AJ27-AN27</x:f>
        <x:v>2277.006089732396</x:v>
      </x:c>
    </x:row>
    <x:row r="28">
      <x:c r="A28" s="209" t="str">
        <x:v>Jan 2028</x:v>
      </x:c>
      <x:c r="B28" s="210" t="n">
        <x:f>F27</x:f>
        <x:v>402.652793026097</x:v>
      </x:c>
      <x:c r="C28" s="210" t="n">
        <x:f>'Assumptions'!C12/'Assumptions'!C13</x:f>
        <x:v>10</x:v>
      </x:c>
      <x:c r="D28" s="210" t="n">
        <x:f>B28*'Assumptions'!C14</x:f>
        <x:v>2.013263965130485</x:v>
      </x:c>
      <x:c r="E28" s="210" t="n">
        <x:f>B28*'Assumptions'!C15</x:f>
        <x:v>16.10611172104388</x:v>
      </x:c>
      <x:c r="F28" s="210" t="n">
        <x:f>B28+C28+D28-E28</x:f>
        <x:v>398.5599452701836</x:v>
      </x:c>
      <x:c r="G28" s="210" t="n">
        <x:f>(B28+F28)/2</x:f>
        <x:v>400.6063691481403</x:v>
      </x:c>
      <x:c r="H28" s="225" t="n">
        <x:f>G28*('Assumptions'!C7*'Assumptions'!C9+'Assumptions'!C8*'Assumptions'!C10)+(G28*'Assumptions'!C6*'Assumptions'!C17+G28*'Assumptions'!C7*'Assumptions'!C18+G28*'Assumptions'!C8*'Assumptions'!C19)*'Assumptions'!C16+G28*'Assumptions'!C6*'Assumptions'!C23*'Assumptions'!C20+G28*'Assumptions'!C7*'Assumptions'!C24*'Assumptions'!C20*(1-'Assumptions'!C21)+G28*'Assumptions'!C8*'Assumptions'!C25*'Assumptions'!C20*(1-'Assumptions'!C22)</x:f>
        <x:v>995.4194951446543</x:v>
      </x:c>
      <x:c r="I28" s="210" t="n">
        <x:f>G28*('Assumptions'!C6*'Assumptions'!C23+'Assumptions'!C7*'Assumptions'!C24+'Assumptions'!C8*'Assumptions'!C25)</x:f>
        <x:v>8.973582668918342</x:v>
      </x:c>
      <x:c r="J28" s="211" t="n">
        <x:f>(I28+G28*'Assumptions'!C8*'Assumptions'!C26)*(('Assumptions'!C29/1000000)*'Assumptions'!C27+('Assumptions'!C30/1000000)*'Assumptions'!C28)*'Assumptions'!C31+(C28+D28)*('Assumptions'!C6*'Assumptions'!C34+'Assumptions'!C7*'Assumptions'!C35+'Assumptions'!C8*'Assumptions'!C36)*(('Assumptions'!C32/1000000)*'Assumptions'!C27+('Assumptions'!C33/1000000)*'Assumptions'!C28)</x:f>
        <x:v>0.6926345485048937</x:v>
      </x:c>
      <x:c r="K28" s="211" t="n">
        <x:f>(G28*('Assumptions'!C7*'Assumptions'!C9+'Assumptions'!C8*'Assumptions'!C10))*('Assumptions'!C37+'Assumptions'!C39)+G28*('Assumptions'!C7+'Assumptions'!C8)*'Assumptions'!C38+((G28*'Assumptions'!C6*'Assumptions'!C17+G28*'Assumptions'!C7*'Assumptions'!C18+G28*'Assumptions'!C8*'Assumptions'!C19)*'Assumptions'!C16)*'Assumptions'!C37+G28*('Assumptions'!C6*'Assumptions'!C17+'Assumptions'!C7*'Assumptions'!C18+'Assumptions'!C8*'Assumptions'!C19)*'Assumptions'!C38+(H28-G28*('Assumptions'!C7*'Assumptions'!C9+'Assumptions'!C8*'Assumptions'!C10)-(G28*'Assumptions'!C6*'Assumptions'!C17+G28*'Assumptions'!C7*'Assumptions'!C18+G28*'Assumptions'!C8*'Assumptions'!C19)*'Assumptions'!C16)*'Assumptions'!C37+I28*'Assumptions'!C38</x:f>
        <x:v>63.27104003845269</x:v>
      </x:c>
      <x:c r="L28" s="211" t="n">
        <x:f>J28+K28+'Assumptions'!C11+'Assumptions'!C12</x:f>
        <x:v>563.9636745869576</x:v>
      </x:c>
      <x:c r="M28" s="211" t="n">
        <x:f>H28-L28</x:f>
        <x:v>431.4558205576967</x:v>
      </x:c>
      <x:c r="N28" s="185"/>
      <x:c r="O28" s="209" t="str">
        <x:v>Jan 2028</x:v>
      </x:c>
      <x:c r="P28" s="210" t="n">
        <x:f>T27</x:f>
        <x:v>536.3347792274193</x:v>
      </x:c>
      <x:c r="Q28" s="210" t="n">
        <x:f>'Assumptions'!D12/'Assumptions'!D13</x:f>
        <x:v>12.5</x:v>
      </x:c>
      <x:c r="R28" s="210" t="n">
        <x:f>P28*'Assumptions'!D14</x:f>
        <x:v>5.363347792274193</x:v>
      </x:c>
      <x:c r="S28" s="210" t="n">
        <x:f>P28*'Assumptions'!D15</x:f>
        <x:v>16.090043376822578</x:v>
      </x:c>
      <x:c r="T28" s="210" t="n">
        <x:f>P28+Q28+R28-S28</x:f>
        <x:v>538.108083642871</x:v>
      </x:c>
      <x:c r="U28" s="210" t="n">
        <x:f>(P28+T28)/2</x:f>
        <x:v>537.2214314351452</x:v>
      </x:c>
      <x:c r="V28" s="225" t="n">
        <x:f>U28*('Assumptions'!D7*'Assumptions'!D9+'Assumptions'!D8*'Assumptions'!D10)+(U28*'Assumptions'!D6*'Assumptions'!D17+U28*'Assumptions'!D7*'Assumptions'!D18+U28*'Assumptions'!D8*'Assumptions'!D19)*'Assumptions'!D16+U28*'Assumptions'!D6*'Assumptions'!D23*'Assumptions'!D20+U28*'Assumptions'!D7*'Assumptions'!D24*'Assumptions'!D20*(1-'Assumptions'!D21)+U28*'Assumptions'!D8*'Assumptions'!D25*'Assumptions'!D20*(1-'Assumptions'!D22)</x:f>
        <x:v>1654.521671219606</x:v>
      </x:c>
      <x:c r="W28" s="210" t="n">
        <x:f>U28*('Assumptions'!D6*'Assumptions'!D23+'Assumptions'!D7*'Assumptions'!D24+'Assumptions'!D8*'Assumptions'!D25)</x:f>
        <x:v>12.463537209295367</x:v>
      </x:c>
      <x:c r="X28" s="211" t="n">
        <x:f>(W28+U28*'Assumptions'!D8*'Assumptions'!D26)*(('Assumptions'!D29/1000000)*'Assumptions'!D27+('Assumptions'!D30/1000000)*'Assumptions'!D28)*'Assumptions'!D31+(Q28+R28)*('Assumptions'!D6*'Assumptions'!D34+'Assumptions'!D7*'Assumptions'!D35+'Assumptions'!D8*'Assumptions'!D36)*(('Assumptions'!D32/1000000)*'Assumptions'!D27+('Assumptions'!D33/1000000)*'Assumptions'!D28)</x:f>
        <x:v>1.0480607771722457</x:v>
      </x:c>
      <x:c r="Y28" s="211" t="n">
        <x:f>(U28*('Assumptions'!D7*'Assumptions'!D9+'Assumptions'!D8*'Assumptions'!D10))*('Assumptions'!D37+'Assumptions'!D39)+U28*('Assumptions'!D7+'Assumptions'!D8)*'Assumptions'!D38+((U28*'Assumptions'!D6*'Assumptions'!D17+U28*'Assumptions'!D7*'Assumptions'!D18+U28*'Assumptions'!D8*'Assumptions'!D19)*'Assumptions'!D16)*'Assumptions'!D37+U28*('Assumptions'!D6*'Assumptions'!D17+'Assumptions'!D7*'Assumptions'!D18+'Assumptions'!D8*'Assumptions'!D19)*'Assumptions'!D38+(V28-U28*('Assumptions'!D7*'Assumptions'!D9+'Assumptions'!D8*'Assumptions'!D10)-(U28*'Assumptions'!D6*'Assumptions'!D17+U28*'Assumptions'!D7*'Assumptions'!D18+U28*'Assumptions'!D8*'Assumptions'!D19)*'Assumptions'!D16)*'Assumptions'!D37+W28*'Assumptions'!D38</x:f>
        <x:v>104.12399137892987</x:v>
      </x:c>
      <x:c r="Z28" s="211" t="n">
        <x:f>X28+Y28+'Assumptions'!D11+'Assumptions'!D12</x:f>
        <x:v>605.1720521561022</x:v>
      </x:c>
      <x:c r="AA28" s="211" t="n">
        <x:f>V28-Z28</x:f>
        <x:v>1049.349619063504</x:v>
      </x:c>
      <x:c r="AB28" s="185"/>
      <x:c r="AC28" s="209" t="str">
        <x:v>Jan 2028</x:v>
      </x:c>
      <x:c r="AD28" s="210" t="n">
        <x:f>AH27</x:f>
        <x:v>683.2329410520848</x:v>
      </x:c>
      <x:c r="AE28" s="210" t="n">
        <x:f>'Assumptions'!E12/'Assumptions'!E13</x:f>
        <x:v>16.666666666666668</x:v>
      </x:c>
      <x:c r="AF28" s="210" t="n">
        <x:f>AD28*'Assumptions'!E14</x:f>
        <x:v>10.248494115781272</x:v>
      </x:c>
      <x:c r="AG28" s="210" t="n">
        <x:f>AD28*'Assumptions'!E15</x:f>
        <x:v>17.080823526302122</x:v>
      </x:c>
      <x:c r="AH28" s="210" t="n">
        <x:f>AD28+AE28+AF28-AG28</x:f>
        <x:v>693.0672783082306</x:v>
      </x:c>
      <x:c r="AI28" s="210" t="n">
        <x:f>(AD28+AH28)/2</x:f>
        <x:v>688.1501096801577</x:v>
      </x:c>
      <x:c r="AJ28" s="225" t="n">
        <x:f>AI28*('Assumptions'!E7*'Assumptions'!E9+'Assumptions'!E8*'Assumptions'!E10)+(AI28*'Assumptions'!E6*'Assumptions'!E17+AI28*'Assumptions'!E7*'Assumptions'!E18+AI28*'Assumptions'!E8*'Assumptions'!E19)*'Assumptions'!E16+AI28*'Assumptions'!E6*'Assumptions'!E23*'Assumptions'!E20+AI28*'Assumptions'!E7*'Assumptions'!E24*'Assumptions'!E20*(1-'Assumptions'!E21)+AI28*'Assumptions'!E8*'Assumptions'!E25*'Assumptions'!E20*(1-'Assumptions'!E22)</x:f>
        <x:v>3004.302351737904</x:v>
      </x:c>
      <x:c r="AK28" s="210" t="n">
        <x:f>AI28*('Assumptions'!E6*'Assumptions'!E23+'Assumptions'!E7*'Assumptions'!E24+'Assumptions'!E8*'Assumptions'!E25)</x:f>
        <x:v>16.928492698131876</x:v>
      </x:c>
      <x:c r="AL28" s="211" t="n">
        <x:f>(AK28+AI28*'Assumptions'!E8*'Assumptions'!E26)*(('Assumptions'!E29/1000000)*'Assumptions'!E27+('Assumptions'!E30/1000000)*'Assumptions'!E28)*'Assumptions'!E31+(AE28+AF28)*('Assumptions'!E6*'Assumptions'!E34+'Assumptions'!E7*'Assumptions'!E35+'Assumptions'!E8*'Assumptions'!E36)*(('Assumptions'!E32/1000000)*'Assumptions'!E27+('Assumptions'!E33/1000000)*'Assumptions'!E28)</x:f>
        <x:v>1.7516148767792639</x:v>
      </x:c>
      <x:c r="AM28" s="211" t="n">
        <x:f>(AI28*('Assumptions'!E7*'Assumptions'!E9+'Assumptions'!E8*'Assumptions'!E10))*('Assumptions'!E37+'Assumptions'!E39)+AI28*('Assumptions'!E7+'Assumptions'!E8)*'Assumptions'!E38+((AI28*'Assumptions'!E6*'Assumptions'!E17+AI28*'Assumptions'!E7*'Assumptions'!E18+AI28*'Assumptions'!E8*'Assumptions'!E19)*'Assumptions'!E16)*'Assumptions'!E37+AI28*('Assumptions'!E6*'Assumptions'!E17+'Assumptions'!E7*'Assumptions'!E18+'Assumptions'!E8*'Assumptions'!E19)*'Assumptions'!E38+(AJ28-AI28*('Assumptions'!E7*'Assumptions'!E9+'Assumptions'!E8*'Assumptions'!E10)-(AI28*'Assumptions'!E6*'Assumptions'!E17+AI28*'Assumptions'!E7*'Assumptions'!E18+AI28*'Assumptions'!E8*'Assumptions'!E19)*'Assumptions'!E16)*'Assumptions'!E37+AK28*'Assumptions'!E38</x:f>
        <x:v>185.07536666216316</x:v>
      </x:c>
      <x:c r="AN28" s="211" t="n">
        <x:f>AL28+AM28+'Assumptions'!E11+'Assumptions'!E12</x:f>
        <x:v>686.8269815389424</x:v>
      </x:c>
      <x:c r="AO28" s="211" t="n">
        <x:f>AJ28-AN28</x:f>
        <x:v>2317.475370198961</x:v>
      </x:c>
    </x:row>
  </x:sheetData>
  <x:mergeCells>
    <x:mergeCell ref="A1:J1"/>
    <x:mergeCell ref="A2:J2"/>
    <x:mergeCell ref="A9:M9"/>
    <x:mergeCell ref="O9:AA9"/>
    <x:mergeCell ref="AC9:AO9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44" hidden="0" customWidth="1"/>
  </x:cols>
  <x:sheetData>
    <x:row r="1" ht="34" customHeight="1">
      <x:c r="A1" s="183" t="str">
        <x:v>Model Checks</x:v>
      </x:c>
      <x:c r="B1" s="183"/>
      <x:c r="C1" s="183"/>
      <x:c r="D1" s="183"/>
      <x:c r="E1" s="183"/>
      <x:c r="F1" s="183"/>
      <x:c r="G1" s="183"/>
    </x:row>
    <x:row r="2" ht="28" customHeight="1">
      <x:c r="A2" s="184" t="str">
        <x:v>PASS means the core inputs, tier mix, roll-forward, revenue bridge, cost bridge, and scenario summaries reconcile within the stated tolerance.</x:v>
      </x:c>
      <x:c r="B2" s="184"/>
      <x:c r="C2" s="184"/>
      <x:c r="D2" s="184"/>
      <x:c r="E2" s="184"/>
      <x:c r="F2" s="184"/>
      <x:c r="G2" s="184"/>
    </x:row>
    <x:row r="3">
      <x:c r="A3" s="185"/>
      <x:c r="B3" s="185"/>
      <x:c r="C3" s="185"/>
      <x:c r="D3" s="185"/>
      <x:c r="E3" s="185"/>
      <x:c r="F3" s="185"/>
      <x:c r="G3" s="185"/>
    </x:row>
    <x:row r="4">
      <x:c r="A4" s="186" t="str">
        <x:v>Check</x:v>
      </x:c>
      <x:c r="B4" s="187" t="str">
        <x:v>Actual</x:v>
      </x:c>
      <x:c r="C4" s="187" t="str">
        <x:v>Expected</x:v>
      </x:c>
      <x:c r="D4" s="187" t="str">
        <x:v>Difference</x:v>
      </x:c>
      <x:c r="E4" s="187" t="str">
        <x:v>Tolerance</x:v>
      </x:c>
      <x:c r="F4" s="187" t="str">
        <x:v>Status</x:v>
      </x:c>
      <x:c r="G4" s="188" t="str">
        <x:v>Where to fix / notes</x:v>
      </x:c>
    </x:row>
    <x:row r="5">
      <x:c r="A5" s="185" t="str">
        <x:v>Base tier mix sums to 100%</x:v>
      </x:c>
      <x:c r="B5" s="282" t="n">
        <x:f>SUM('Assumptions'!D6:D8)</x:f>
        <x:v>1</x:v>
      </x:c>
      <x:c r="C5" s="282" t="n">
        <x:f>1</x:f>
        <x:v>1</x:v>
      </x:c>
      <x:c r="D5" s="282" t="n">
        <x:f>B5-C5</x:f>
        <x:v>0</x:v>
      </x:c>
      <x:c r="E5" s="282" t="n">
        <x:v>0.000001</x:v>
      </x:c>
      <x:c r="F5" s="283" t="str">
        <x:f>IF(ABS(D5)&lt;=E5,"OK","FAIL")</x:f>
        <x:v>OK</x:v>
      </x:c>
      <x:c r="G5" s="185" t="str">
        <x:v>Assumptions D6:D8</x:v>
      </x:c>
    </x:row>
    <x:row r="6">
      <x:c r="A6" s="185" t="str">
        <x:v>Conservative tier mix sums to 100%</x:v>
      </x:c>
      <x:c r="B6" s="282" t="n">
        <x:f>SUM('Assumptions'!C6:C8)</x:f>
        <x:v>1</x:v>
      </x:c>
      <x:c r="C6" s="282" t="n">
        <x:f>1</x:f>
        <x:v>1</x:v>
      </x:c>
      <x:c r="D6" s="282" t="n">
        <x:f>B6-C6</x:f>
        <x:v>0</x:v>
      </x:c>
      <x:c r="E6" s="282" t="n">
        <x:v>0.000001</x:v>
      </x:c>
      <x:c r="F6" s="283" t="str">
        <x:f>IF(ABS(D6)&lt;=E6,"OK","FAIL")</x:f>
        <x:v>OK</x:v>
      </x:c>
      <x:c r="G6" s="185" t="str">
        <x:v>Assumptions C6:C8</x:v>
      </x:c>
    </x:row>
    <x:row r="7">
      <x:c r="A7" s="185" t="str">
        <x:v>Upside tier mix sums to 100%</x:v>
      </x:c>
      <x:c r="B7" s="282" t="n">
        <x:f>SUM('Assumptions'!E6:E8)</x:f>
        <x:v>1</x:v>
      </x:c>
      <x:c r="C7" s="282" t="n">
        <x:f>1</x:f>
        <x:v>1</x:v>
      </x:c>
      <x:c r="D7" s="282" t="n">
        <x:f>B7-C7</x:f>
        <x:v>0</x:v>
      </x:c>
      <x:c r="E7" s="282" t="n">
        <x:v>0.000001</x:v>
      </x:c>
      <x:c r="F7" s="283" t="str">
        <x:f>IF(ABS(D7)&lt;=E7,"OK","FAIL")</x:f>
        <x:v>OK</x:v>
      </x:c>
      <x:c r="G7" s="185" t="str">
        <x:v>Assumptions E6:E8</x:v>
      </x:c>
    </x:row>
    <x:row r="8">
      <x:c r="A8" s="185" t="str">
        <x:v>Month 1 opening users match input</x:v>
      </x:c>
      <x:c r="B8" s="282" t="n">
        <x:f>'Monthly Forecast'!B5</x:f>
        <x:v>500</x:v>
      </x:c>
      <x:c r="C8" s="282" t="n">
        <x:f>'Assumptions'!D5</x:f>
        <x:v>500</x:v>
      </x:c>
      <x:c r="D8" s="282" t="n">
        <x:f>B8-C8</x:f>
        <x:v>0</x:v>
      </x:c>
      <x:c r="E8" s="282" t="n">
        <x:v>0.000001</x:v>
      </x:c>
      <x:c r="F8" s="283" t="str">
        <x:f>IF(ABS(D8)&lt;=E8,"OK","FAIL")</x:f>
        <x:v>OK</x:v>
      </x:c>
      <x:c r="G8" s="185" t="str">
        <x:v>Monthly Forecast B5</x:v>
      </x:c>
    </x:row>
    <x:row r="9">
      <x:c r="A9" s="185" t="str">
        <x:v>Month 18 cumulative contribution ties</x:v>
      </x:c>
      <x:c r="B9" s="282" t="n">
        <x:f>'Monthly Forecast'!AA22</x:f>
        <x:v>18004.77756897168</x:v>
      </x:c>
      <x:c r="C9" s="282" t="n">
        <x:f>SUM('Monthly Forecast'!Y5:Y22)</x:f>
        <x:v>18004.77756897168</x:v>
      </x:c>
      <x:c r="D9" s="282" t="n">
        <x:f>B9-C9</x:f>
        <x:v>0</x:v>
      </x:c>
      <x:c r="E9" s="282" t="n">
        <x:v>0.01</x:v>
      </x:c>
      <x:c r="F9" s="283" t="str">
        <x:f>IF(ABS(D9)&lt;=E9,"OK","FAIL")</x:f>
        <x:v>OK</x:v>
      </x:c>
      <x:c r="G9" s="185" t="str">
        <x:v>Monthly Forecast AA22 / Y5:Y22</x:v>
      </x:c>
    </x:row>
    <x:row r="10">
      <x:c r="A10" s="185" t="str">
        <x:v>Monthly revenue components tie</x:v>
      </x:c>
      <x:c r="B10" s="282" t="n">
        <x:f>SUM('Monthly Forecast'!N5:N22)</x:f>
        <x:v>28837.944110239336</x:v>
      </x:c>
      <x:c r="C10" s="282" t="n">
        <x:f>SUM('Monthly Forecast'!K5:M22)</x:f>
        <x:v>28837.944110239343</x:v>
      </x:c>
      <x:c r="D10" s="282" t="n">
        <x:f>B10-C10</x:f>
        <x:v>-7.275957614183426e-12</x:v>
      </x:c>
      <x:c r="E10" s="282" t="n">
        <x:v>0.01</x:v>
      </x:c>
      <x:c r="F10" s="283" t="str">
        <x:f>IF(ABS(D10)&lt;=E10,"OK","FAIL")</x:f>
        <x:v>OK</x:v>
      </x:c>
      <x:c r="G10" s="185" t="str">
        <x:v>Monthly Forecast K:M / N</x:v>
      </x:c>
    </x:row>
    <x:row r="11">
      <x:c r="A11" s="185" t="str">
        <x:v>Monthly cost components tie</x:v>
      </x:c>
      <x:c r="B11" s="282" t="n">
        <x:f>SUM('Monthly Forecast'!X5:X22)</x:f>
        <x:v>10833.166541267665</x:v>
      </x:c>
      <x:c r="C11" s="282" t="n">
        <x:f>SUM('Monthly Forecast'!T5:W22)</x:f>
        <x:v>10833.166541267665</x:v>
      </x:c>
      <x:c r="D11" s="282" t="n">
        <x:f>B11-C11</x:f>
        <x:v>0</x:v>
      </x:c>
      <x:c r="E11" s="282" t="n">
        <x:v>0.01</x:v>
      </x:c>
      <x:c r="F11" s="283" t="str">
        <x:f>IF(ABS(D11)&lt;=E11,"OK","FAIL")</x:f>
        <x:v>OK</x:v>
      </x:c>
      <x:c r="G11" s="185" t="str">
        <x:v>Monthly Forecast T:W / X</x:v>
      </x:c>
    </x:row>
    <x:row r="12">
      <x:c r="A12" s="185" t="str">
        <x:v>Scenario base revenue ties to forecast</x:v>
      </x:c>
      <x:c r="B12" s="282" t="n">
        <x:f>'Scenario Analysis'!D6</x:f>
        <x:v>28837.944110239336</x:v>
      </x:c>
      <x:c r="C12" s="282" t="n">
        <x:f>SUM('Monthly Forecast'!N5:N22)</x:f>
        <x:v>28837.944110239336</x:v>
      </x:c>
      <x:c r="D12" s="282" t="n">
        <x:f>B12-C12</x:f>
        <x:v>0</x:v>
      </x:c>
      <x:c r="E12" s="282" t="n">
        <x:v>0.01</x:v>
      </x:c>
      <x:c r="F12" s="283" t="str">
        <x:f>IF(ABS(D12)&lt;=E12,"OK","FAIL")</x:f>
        <x:v>OK</x:v>
      </x:c>
      <x:c r="G12" s="185" t="str">
        <x:v>Scenario Analysis Base vs Monthly Forecast</x:v>
      </x:c>
    </x:row>
    <x:row r="13">
      <x:c r="A13" s="185" t="str">
        <x:v>AI costs are non-negative</x:v>
      </x:c>
      <x:c r="B13" s="282" t="n">
        <x:f>MIN('Monthly Forecast'!T5:T22)</x:f>
        <x:v>0.9827110416666668</x:v>
      </x:c>
      <x:c r="C13" s="282" t="n">
        <x:f>MAX(0,B13)</x:f>
        <x:v>0.9827110416666668</x:v>
      </x:c>
      <x:c r="D13" s="282" t="n">
        <x:f>B13-C13</x:f>
        <x:v>0</x:v>
      </x:c>
      <x:c r="E13" s="282" t="n">
        <x:v>0.000001</x:v>
      </x:c>
      <x:c r="F13" s="283" t="str">
        <x:f>IF(ABS(D13)&lt;=E13,"OK","FAIL")</x:f>
        <x:v>OK</x:v>
      </x:c>
      <x:c r="G13" s="185" t="str">
        <x:v>Monthly Forecast T5:T22</x:v>
      </x:c>
    </x:row>
    <x:row r="14">
      <x:c r="A14" s="185"/>
      <x:c r="B14" s="185"/>
      <x:c r="C14" s="185"/>
      <x:c r="D14" s="185"/>
      <x:c r="E14" s="185"/>
      <x:c r="F14" s="185"/>
      <x:c r="G14" s="185"/>
    </x:row>
    <x:row r="15">
      <x:c r="A15" s="222" t="str">
        <x:v>MODEL STATUS</x:v>
      </x:c>
      <x:c r="B15" s="222"/>
      <x:c r="C15" s="222"/>
      <x:c r="D15" s="227" t="str">
        <x:f>IF(COUNTIF(F5:F13,"FAIL")=0,"PASS","FAIL")</x:f>
        <x:v>PASS</x:v>
      </x:c>
      <x:c r="E15" s="227"/>
      <x:c r="F15" s="227"/>
      <x:c r="G15" s="185"/>
    </x:row>
  </x:sheetData>
  <x:mergeCells>
    <x:mergeCell ref="A1:G1"/>
    <x:mergeCell ref="A2:G2"/>
    <x:mergeCell ref="A15:C15"/>
    <x:mergeCell ref="D15:F15"/>
  </x:mergeCells>
  <x:conditionalFormatting sqref="F5:F13">
    <x:cfRule type="containsText" dxfId="0" priority="1" operator="containsText" text="OK"/>
    <x:cfRule type="containsText" dxfId="1" priority="2" operator="containsText" text="FAIL"/>
  </x:conditionalFormatting>
  <x:conditionalFormatting sqref="D15:F15">
    <x:cfRule type="containsText" dxfId="2" priority="3" operator="containsText" text="PASS"/>
    <x:cfRule type="containsText" dxfId="3" priority="4" operator="containsText" text="FAIL"/>
  </x:conditionalFormatting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" hidden="0" customWidth="1"/>
    <x:col min="2" max="2" width="31" hidden="0" customWidth="1"/>
    <x:col min="3" max="3" width="26" hidden="0" customWidth="1"/>
    <x:col min="4" max="4" width="20" hidden="0" customWidth="1"/>
    <x:col min="5" max="5" width="20" hidden="0" customWidth="1"/>
    <x:col min="6" max="6" width="20" hidden="0" customWidth="1"/>
    <x:col min="7" max="7" width="58" hidden="0" customWidth="1"/>
    <x:col min="8" max="8" width="48" hidden="0" customWidth="1"/>
  </x:cols>
  <x:sheetData>
    <x:row r="1" ht="34" customHeight="1">
      <x:c r="A1" s="183" t="str">
        <x:v>Sources and Methodology</x:v>
      </x:c>
      <x:c r="B1" s="183"/>
      <x:c r="C1" s="183"/>
      <x:c r="D1" s="183"/>
      <x:c r="E1" s="183"/>
      <x:c r="F1" s="183"/>
      <x:c r="G1" s="183"/>
      <x:c r="H1" s="183"/>
    </x:row>
    <x:row r="2" ht="28" customHeight="1">
      <x:c r="A2" s="184" t="str">
        <x:v>External prices are current as of August 5, 2026. Planning assumptions are deliberately separated from externally sourced unit prices.</x:v>
      </x:c>
      <x:c r="B2" s="184"/>
      <x:c r="C2" s="184"/>
      <x:c r="D2" s="184"/>
      <x:c r="E2" s="184"/>
      <x:c r="F2" s="184"/>
      <x:c r="G2" s="184"/>
      <x:c r="H2" s="184"/>
    </x:row>
    <x:row r="3">
      <x:c r="A3" s="185"/>
      <x:c r="B3" s="185"/>
      <x:c r="C3" s="185"/>
      <x:c r="D3" s="185"/>
      <x:c r="E3" s="185"/>
      <x:c r="F3" s="185"/>
      <x:c r="G3" s="185"/>
      <x:c r="H3" s="185"/>
    </x:row>
    <x:row r="4">
      <x:c r="A4" s="186" t="str">
        <x:v>Source ID</x:v>
      </x:c>
      <x:c r="B4" s="187" t="str">
        <x:v>Input / evidence</x:v>
      </x:c>
      <x:c r="C4" s="187" t="str">
        <x:v>Value</x:v>
      </x:c>
      <x:c r="D4" s="187" t="str">
        <x:v>Unit</x:v>
      </x:c>
      <x:c r="E4" s="187" t="str">
        <x:v>As of</x:v>
      </x:c>
      <x:c r="F4" s="187" t="str">
        <x:v>Source type</x:v>
      </x:c>
      <x:c r="G4" s="187" t="str">
        <x:v>Source / reference</x:v>
      </x:c>
      <x:c r="H4" s="188" t="str">
        <x:v>Notes</x:v>
      </x:c>
    </x:row>
    <x:row r="5">
      <x:c r="A5" s="228" t="str">
        <x:v>USR-01</x:v>
      </x:c>
      <x:c r="B5" s="228" t="str">
        <x:v>Starting active users</x:v>
      </x:c>
      <x:c r="C5" s="228" t="n">
        <x:v>500</x:v>
      </x:c>
      <x:c r="D5" s="228" t="str">
        <x:v>users</x:v>
      </x:c>
      <x:c r="E5" s="228" t="str">
        <x:v>2026-08-05</x:v>
      </x:c>
      <x:c r="F5" s="228" t="str">
        <x:v>User input</x:v>
      </x:c>
      <x:c r="G5" s="228" t="str">
        <x:v>User request</x:v>
      </x:c>
      <x:c r="H5" s="228" t="str">
        <x:v>Starting cohort</x:v>
      </x:c>
    </x:row>
    <x:row r="6">
      <x:c r="A6" s="228" t="str">
        <x:v>USR-02</x:v>
      </x:c>
      <x:c r="B6" s="228" t="str">
        <x:v>Hosting / operations</x:v>
      </x:c>
      <x:c r="C6" s="228" t="n">
        <x:v>250</x:v>
      </x:c>
      <x:c r="D6" s="228" t="str">
        <x:v>USD/month</x:v>
      </x:c>
      <x:c r="E6" s="228" t="str">
        <x:v>2026-08-05</x:v>
      </x:c>
      <x:c r="F6" s="228" t="str">
        <x:v>User input</x:v>
      </x:c>
      <x:c r="G6" s="228" t="str">
        <x:v>User request</x:v>
      </x:c>
      <x:c r="H6" s="228" t="str">
        <x:v>Half of $500 combined monthly budget</x:v>
      </x:c>
    </x:row>
    <x:row r="7">
      <x:c r="A7" s="228" t="str">
        <x:v>USR-03</x:v>
      </x:c>
      <x:c r="B7" s="228" t="str">
        <x:v>Advertising</x:v>
      </x:c>
      <x:c r="C7" s="228" t="n">
        <x:v>250</x:v>
      </x:c>
      <x:c r="D7" s="228" t="str">
        <x:v>USD/month</x:v>
      </x:c>
      <x:c r="E7" s="228" t="str">
        <x:v>2026-08-05</x:v>
      </x:c>
      <x:c r="F7" s="228" t="str">
        <x:v>User input</x:v>
      </x:c>
      <x:c r="G7" s="228" t="str">
        <x:v>User request</x:v>
      </x:c>
      <x:c r="H7" s="228" t="str">
        <x:v>Half of $500 combined monthly budget</x:v>
      </x:c>
    </x:row>
    <x:row r="8">
      <x:c r="A8" s="228" t="str">
        <x:v>OAI-01</x:v>
      </x:c>
      <x:c r="B8" s="228" t="str">
        <x:v>GPT-5 mini token prices</x:v>
      </x:c>
      <x:c r="C8" s="228" t="str">
        <x:v>$0.25 input / $2.00 output</x:v>
      </x:c>
      <x:c r="D8" s="228" t="str">
        <x:v>USD/1M tokens</x:v>
      </x:c>
      <x:c r="E8" s="228" t="str">
        <x:v>2026-08-05</x:v>
      </x:c>
      <x:c r="F8" s="228" t="str">
        <x:v>Official pricing</x:v>
      </x:c>
      <x:c r="G8" s="228" t="str">
        <x:v>https://developers.openai.com/api/docs/models/gpt-5-mini</x:v>
      </x:c>
      <x:c r="H8" s="228" t="str">
        <x:v>Current model configured for private reports</x:v>
      </x:c>
    </x:row>
    <x:row r="9">
      <x:c r="A9" s="228" t="str">
        <x:v>STR-01</x:v>
      </x:c>
      <x:c r="B9" s="228" t="str">
        <x:v>Stripe standard US online card + Billing</x:v>
      </x:c>
      <x:c r="C9" s="228" t="str">
        <x:v>2.9% + $0.30; Billing 0.7%</x:v>
      </x:c>
      <x:c r="D9" s="228" t="str">
        <x:v>per transaction / billing volume</x:v>
      </x:c>
      <x:c r="E9" s="228" t="str">
        <x:v>2026-08-05</x:v>
      </x:c>
      <x:c r="F9" s="228" t="str">
        <x:v>Official pricing</x:v>
      </x:c>
      <x:c r="G9" s="228" t="str">
        <x:v>https://stripe.com/pricing</x:v>
      </x:c>
      <x:c r="H9" s="228" t="str">
        <x:v>Domestic-card planning assumption; international and FX fees excluded</x:v>
      </x:c>
    </x:row>
    <x:row r="10">
      <x:c r="A10" s="228" t="str">
        <x:v>CODE-01</x:v>
      </x:c>
      <x:c r="B10" s="228" t="str">
        <x:v>Daily reading model cost</x:v>
      </x:c>
      <x:c r="C10" s="228" t="n">
        <x:v>0</x:v>
      </x:c>
      <x:c r="D10" s="228" t="str">
        <x:v>USD/reading</x:v>
      </x:c>
      <x:c r="E10" s="228" t="str">
        <x:v>2026-08-05</x:v>
      </x:c>
      <x:c r="F10" s="228" t="str">
        <x:v>Repository inspection</x:v>
      </x:c>
      <x:c r="G10" s="228" t="str">
        <x:v>lib/daily-readings</x:v>
      </x:c>
      <x:c r="H10" s="228" t="str">
        <x:v>Current daily readings are deterministic/template-based and cached; no OpenAI call</x:v>
      </x:c>
    </x:row>
    <x:row r="11">
      <x:c r="A11" s="228" t="str">
        <x:v>CODE-02</x:v>
      </x:c>
      <x:c r="B11" s="228" t="str">
        <x:v>Private report model</x:v>
      </x:c>
      <x:c r="C11" s="228" t="str">
        <x:v>gpt-5-mini</x:v>
      </x:c>
      <x:c r="D11" s="228" t="str">
        <x:v>model</x:v>
      </x:c>
      <x:c r="E11" s="228" t="str">
        <x:v>2026-08-05</x:v>
      </x:c>
      <x:c r="F11" s="228" t="str">
        <x:v>Repository inspection</x:v>
      </x:c>
      <x:c r="G11" s="228" t="str">
        <x:v>app/api/internal/report-worker/route.ts</x:v>
      </x:c>
      <x:c r="H11" s="228" t="str">
        <x:v>Worker allows up to two attempts; model assumes 1.10 average attempts</x:v>
      </x:c>
    </x:row>
    <x:row r="12">
      <x:c r="A12" s="228" t="str">
        <x:v>ASM-ALL</x:v>
      </x:c>
      <x:c r="B12" s="228" t="str">
        <x:v>Commercial and usage assumptions</x:v>
      </x:c>
      <x:c r="C12" s="228" t="str">
        <x:v>See Assumptions</x:v>
      </x:c>
      <x:c r="D12" s="228" t="str">
        <x:v>various</x:v>
      </x:c>
      <x:c r="E12" s="228" t="str">
        <x:v>2026-08-05</x:v>
      </x:c>
      <x:c r="F12" s="228" t="str">
        <x:v>Planning assumptions</x:v>
      </x:c>
      <x:c r="G12" s="228" t="str">
        <x:v>Assumptions sheet</x:v>
      </x:c>
      <x:c r="H12" s="228" t="str">
        <x:v>Must be validated with real conversion, churn, pack, and report purchase data</x:v>
      </x:c>
    </x:row>
    <x:row r="13">
      <x:c r="A13" s="185"/>
      <x:c r="B13" s="185"/>
      <x:c r="C13" s="185"/>
      <x:c r="D13" s="185"/>
      <x:c r="E13" s="185"/>
      <x:c r="F13" s="185"/>
      <x:c r="G13" s="185"/>
      <x:c r="H13" s="185"/>
    </x:row>
    <x:row r="14">
      <x:c r="A14" s="222" t="str">
        <x:v>Scope exclusions</x:v>
      </x:c>
      <x:c r="B14" s="222"/>
      <x:c r="C14" s="222"/>
      <x:c r="D14" s="222"/>
      <x:c r="E14" s="222"/>
      <x:c r="F14" s="222"/>
      <x:c r="G14" s="222"/>
      <x:c r="H14" s="222"/>
    </x:row>
    <x:row r="15" ht="32" customHeight="1">
      <x:c r="A15" s="228" t="str">
        <x:v>Founder or staff compensation, customer support, legal/accounting, taxes, refunds/chargebacks, email delivery, monitoring, storage overages, international-card/FX fees, app-store commissions, and annual-plan cash timing are excluded.</x:v>
      </x:c>
      <x:c r="B15" s="228"/>
      <x:c r="C15" s="228"/>
      <x:c r="D15" s="228"/>
      <x:c r="E15" s="228"/>
      <x:c r="F15" s="228"/>
      <x:c r="G15" s="228"/>
      <x:c r="H15" s="228"/>
    </x:row>
    <x:row r="16" ht="32" customHeight="1">
      <x:c r="A16" s="228" t="str">
        <x:v>The forecast is an operating contribution model, not GAAP net income or cash flow.</x:v>
      </x:c>
      <x:c r="B16" s="228"/>
      <x:c r="C16" s="228"/>
      <x:c r="D16" s="228"/>
      <x:c r="E16" s="228"/>
      <x:c r="F16" s="228"/>
      <x:c r="G16" s="228"/>
      <x:c r="H16" s="228"/>
    </x:row>
    <x:row r="17" ht="32" customHeight="1">
      <x:c r="A17" s="228" t="str">
        <x:v>Paid reports remain subject to Celestial Atlas release gates and legal/licensing approvals; this workbook is planning analysis only.</x:v>
      </x:c>
      <x:c r="B17" s="228"/>
      <x:c r="C17" s="228"/>
      <x:c r="D17" s="228"/>
      <x:c r="E17" s="228"/>
      <x:c r="F17" s="228"/>
      <x:c r="G17" s="228"/>
      <x:c r="H17" s="228"/>
    </x:row>
    <x:row r="18" ht="32" customHeight="1">
      <x:c r="A18" s="228" t="str">
        <x:v>The 500-user base is assumed to exist at the start, so historical natal-chart generation cost is treated as sunk. New-user natal interpretations are included.</x:v>
      </x:c>
      <x:c r="B18" s="228"/>
      <x:c r="C18" s="228"/>
      <x:c r="D18" s="228"/>
      <x:c r="E18" s="228"/>
      <x:c r="F18" s="228"/>
      <x:c r="G18" s="228"/>
      <x:c r="H18" s="228"/>
    </x:row>
    <x:row r="19" ht="32" customHeight="1">
      <x:c r="A19" s="228" t="str">
        <x:v>Future Trends report revenue is excluded, making the report-sales forecast conservative relative to the proposed catalog.</x:v>
      </x:c>
      <x:c r="B19" s="228"/>
      <x:c r="C19" s="228"/>
      <x:c r="D19" s="228"/>
      <x:c r="E19" s="228"/>
      <x:c r="F19" s="228"/>
      <x:c r="G19" s="228"/>
      <x:c r="H19" s="228"/>
    </x:row>
  </x:sheetData>
  <x:mergeCells>
    <x:mergeCell ref="A1:H1"/>
    <x:mergeCell ref="A2:H2"/>
    <x:mergeCell ref="A14:H14"/>
    <x:mergeCell ref="A15:H15"/>
    <x:mergeCell ref="A16:H16"/>
    <x:mergeCell ref="A17:H17"/>
    <x:mergeCell ref="A18:H18"/>
    <x:mergeCell ref="A19:H19"/>
  </x:mergeCells>
  <x:pageMargins left="0.7" right="0.7" top="0.75" bottom="0.75" header="0.3" footer="0.3"/>
</x:worksheet>
</file>